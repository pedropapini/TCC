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50DF1EE8-A6C4-4A40-9E26-FE427F1C1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23" i="1" l="1"/>
  <c r="M320" i="1"/>
  <c r="M313" i="1"/>
  <c r="M310" i="1"/>
  <c r="M308" i="1"/>
  <c r="M306" i="1"/>
  <c r="M305" i="1"/>
  <c r="M304" i="1"/>
  <c r="M299" i="1"/>
  <c r="M297" i="1"/>
  <c r="M280" i="1"/>
  <c r="M278" i="1"/>
  <c r="M274" i="1"/>
  <c r="M271" i="1"/>
  <c r="M270" i="1"/>
  <c r="M269" i="1"/>
  <c r="M250" i="1"/>
  <c r="M246" i="1"/>
  <c r="M245" i="1"/>
  <c r="M244" i="1"/>
  <c r="M230" i="1"/>
  <c r="M228" i="1"/>
  <c r="M210" i="1"/>
  <c r="M208" i="1"/>
  <c r="M206" i="1"/>
  <c r="M203" i="1"/>
  <c r="M198" i="1"/>
  <c r="M196" i="1"/>
  <c r="M182" i="1"/>
  <c r="M174" i="1"/>
  <c r="M172" i="1"/>
  <c r="M169" i="1"/>
  <c r="M168" i="1"/>
  <c r="M167" i="1"/>
  <c r="M163" i="1"/>
  <c r="M162" i="1"/>
  <c r="M151" i="1"/>
  <c r="M144" i="1"/>
  <c r="M142" i="1"/>
  <c r="M138" i="1"/>
  <c r="M137" i="1"/>
  <c r="M133" i="1"/>
  <c r="M132" i="1"/>
  <c r="M130" i="1"/>
  <c r="M129" i="1"/>
  <c r="M127" i="1"/>
  <c r="M125" i="1"/>
  <c r="M121" i="1"/>
  <c r="M119" i="1"/>
  <c r="M109" i="1"/>
  <c r="M106" i="1"/>
  <c r="M102" i="1"/>
  <c r="M97" i="1"/>
  <c r="M96" i="1"/>
  <c r="M93" i="1"/>
  <c r="M91" i="1"/>
  <c r="M88" i="1"/>
  <c r="M87" i="1"/>
  <c r="M84" i="1"/>
  <c r="M80" i="1"/>
  <c r="M79" i="1"/>
  <c r="M68" i="1"/>
  <c r="M67" i="1"/>
  <c r="M65" i="1"/>
  <c r="M64" i="1"/>
  <c r="M63" i="1"/>
  <c r="M59" i="1"/>
  <c r="M53" i="1"/>
  <c r="M46" i="1"/>
  <c r="M44" i="1"/>
  <c r="M39" i="1"/>
  <c r="M32" i="1"/>
  <c r="M31" i="1"/>
  <c r="M29" i="1"/>
  <c r="M26" i="1"/>
  <c r="M19" i="1"/>
  <c r="M18" i="1"/>
  <c r="M16" i="1"/>
  <c r="M15" i="1"/>
  <c r="M9" i="1"/>
  <c r="M8" i="1"/>
  <c r="M2" i="1"/>
  <c r="L323" i="1"/>
  <c r="L320" i="1"/>
  <c r="L313" i="1"/>
  <c r="L310" i="1"/>
  <c r="L308" i="1"/>
  <c r="L306" i="1"/>
  <c r="L305" i="1"/>
  <c r="L304" i="1"/>
  <c r="L299" i="1"/>
  <c r="L297" i="1"/>
  <c r="L280" i="1"/>
  <c r="L278" i="1"/>
  <c r="L274" i="1"/>
  <c r="L271" i="1"/>
  <c r="L270" i="1"/>
  <c r="L269" i="1"/>
  <c r="L250" i="1"/>
  <c r="L246" i="1"/>
  <c r="L245" i="1"/>
  <c r="L244" i="1"/>
  <c r="L230" i="1"/>
  <c r="L228" i="1"/>
  <c r="L210" i="1"/>
  <c r="L208" i="1"/>
  <c r="L206" i="1"/>
  <c r="L203" i="1"/>
  <c r="L198" i="1"/>
  <c r="L196" i="1"/>
  <c r="L182" i="1"/>
  <c r="L174" i="1"/>
  <c r="L172" i="1"/>
  <c r="L169" i="1"/>
  <c r="L168" i="1"/>
  <c r="L167" i="1"/>
  <c r="L163" i="1"/>
  <c r="L162" i="1"/>
  <c r="L151" i="1"/>
  <c r="L144" i="1"/>
  <c r="L142" i="1"/>
  <c r="L138" i="1"/>
  <c r="L137" i="1"/>
  <c r="L133" i="1"/>
  <c r="L132" i="1"/>
  <c r="L130" i="1"/>
  <c r="L129" i="1"/>
  <c r="L127" i="1"/>
  <c r="L125" i="1"/>
  <c r="L121" i="1"/>
  <c r="L119" i="1"/>
  <c r="L109" i="1"/>
  <c r="L106" i="1"/>
  <c r="L102" i="1"/>
  <c r="L97" i="1"/>
  <c r="L96" i="1"/>
  <c r="L93" i="1"/>
  <c r="L91" i="1"/>
  <c r="L88" i="1"/>
  <c r="L87" i="1"/>
  <c r="L84" i="1"/>
  <c r="L80" i="1"/>
  <c r="L79" i="1"/>
  <c r="L68" i="1"/>
  <c r="L67" i="1"/>
  <c r="L65" i="1"/>
  <c r="L64" i="1"/>
  <c r="L63" i="1"/>
  <c r="L59" i="1"/>
  <c r="L53" i="1"/>
  <c r="L46" i="1"/>
  <c r="L44" i="1"/>
  <c r="L39" i="1"/>
  <c r="L32" i="1"/>
  <c r="L31" i="1"/>
  <c r="L29" i="1"/>
  <c r="L26" i="1"/>
  <c r="L19" i="1"/>
  <c r="L18" i="1"/>
  <c r="L16" i="1"/>
  <c r="L15" i="1"/>
  <c r="L9" i="1"/>
  <c r="L8" i="1"/>
  <c r="L2" i="1"/>
  <c r="E2" i="1"/>
  <c r="E8" i="1"/>
  <c r="E9" i="1"/>
  <c r="E15" i="1"/>
  <c r="E16" i="1"/>
  <c r="E18" i="1"/>
  <c r="E19" i="1"/>
  <c r="E26" i="1"/>
  <c r="E29" i="1"/>
  <c r="E31" i="1"/>
  <c r="E32" i="1"/>
  <c r="E39" i="1"/>
  <c r="E44" i="1"/>
  <c r="E46" i="1"/>
  <c r="E53" i="1"/>
  <c r="E59" i="1"/>
  <c r="E63" i="1"/>
  <c r="E64" i="1"/>
  <c r="E65" i="1"/>
  <c r="E67" i="1"/>
  <c r="E68" i="1"/>
  <c r="E79" i="1"/>
  <c r="E80" i="1"/>
  <c r="E84" i="1"/>
  <c r="E87" i="1"/>
  <c r="E88" i="1"/>
  <c r="E91" i="1"/>
  <c r="E93" i="1"/>
  <c r="E96" i="1"/>
  <c r="E97" i="1"/>
  <c r="E102" i="1"/>
  <c r="E106" i="1"/>
  <c r="E109" i="1"/>
  <c r="E119" i="1"/>
  <c r="E121" i="1"/>
  <c r="E125" i="1"/>
  <c r="E127" i="1"/>
  <c r="E129" i="1"/>
  <c r="E130" i="1"/>
  <c r="E132" i="1"/>
  <c r="E133" i="1"/>
  <c r="E137" i="1"/>
  <c r="E138" i="1"/>
  <c r="E142" i="1"/>
  <c r="E144" i="1"/>
  <c r="E151" i="1"/>
  <c r="E162" i="1"/>
  <c r="E163" i="1"/>
  <c r="E167" i="1"/>
  <c r="E168" i="1"/>
  <c r="E169" i="1"/>
  <c r="E172" i="1"/>
  <c r="E174" i="1"/>
  <c r="E182" i="1"/>
  <c r="E196" i="1"/>
  <c r="E198" i="1"/>
  <c r="E203" i="1"/>
  <c r="E206" i="1"/>
  <c r="E208" i="1"/>
  <c r="E210" i="1"/>
  <c r="E228" i="1"/>
  <c r="E230" i="1"/>
  <c r="E244" i="1"/>
  <c r="E245" i="1"/>
  <c r="E246" i="1"/>
  <c r="E250" i="1"/>
  <c r="E269" i="1"/>
  <c r="E270" i="1"/>
  <c r="E271" i="1"/>
  <c r="E274" i="1"/>
  <c r="E278" i="1"/>
  <c r="E280" i="1"/>
  <c r="E297" i="1"/>
  <c r="E299" i="1"/>
  <c r="E304" i="1"/>
  <c r="E305" i="1"/>
  <c r="E306" i="1"/>
  <c r="E308" i="1"/>
  <c r="E310" i="1"/>
  <c r="E313" i="1"/>
  <c r="E320" i="1"/>
  <c r="E323" i="1"/>
  <c r="D323" i="1"/>
  <c r="D320" i="1"/>
  <c r="D313" i="1"/>
  <c r="D310" i="1"/>
  <c r="D308" i="1"/>
  <c r="D306" i="1"/>
  <c r="D305" i="1"/>
  <c r="D304" i="1"/>
  <c r="D299" i="1"/>
  <c r="D297" i="1"/>
  <c r="D280" i="1"/>
  <c r="D278" i="1"/>
  <c r="D274" i="1"/>
  <c r="D271" i="1"/>
  <c r="D270" i="1"/>
  <c r="D269" i="1"/>
  <c r="D250" i="1"/>
  <c r="D246" i="1"/>
  <c r="D245" i="1"/>
  <c r="D244" i="1"/>
  <c r="D230" i="1"/>
  <c r="D228" i="1"/>
  <c r="D210" i="1"/>
  <c r="D208" i="1"/>
  <c r="D206" i="1"/>
  <c r="D203" i="1"/>
  <c r="D198" i="1"/>
  <c r="D196" i="1"/>
  <c r="D182" i="1"/>
  <c r="D174" i="1"/>
  <c r="D172" i="1"/>
  <c r="D169" i="1"/>
  <c r="D168" i="1"/>
  <c r="D167" i="1"/>
  <c r="D163" i="1"/>
  <c r="D162" i="1"/>
  <c r="D151" i="1"/>
  <c r="D144" i="1"/>
  <c r="D142" i="1"/>
  <c r="D138" i="1"/>
  <c r="D137" i="1"/>
  <c r="D125" i="1"/>
  <c r="D127" i="1"/>
  <c r="D130" i="1"/>
  <c r="D133" i="1"/>
  <c r="D132" i="1"/>
  <c r="D129" i="1"/>
  <c r="D121" i="1"/>
  <c r="D119" i="1"/>
  <c r="D109" i="1"/>
  <c r="D106" i="1"/>
  <c r="D102" i="1"/>
  <c r="D97" i="1"/>
  <c r="D96" i="1"/>
  <c r="D93" i="1"/>
  <c r="D91" i="1"/>
  <c r="D88" i="1"/>
  <c r="D87" i="1"/>
  <c r="D84" i="1"/>
  <c r="D80" i="1"/>
  <c r="D79" i="1"/>
  <c r="D68" i="1"/>
  <c r="D67" i="1"/>
  <c r="D65" i="1"/>
  <c r="D64" i="1"/>
  <c r="D63" i="1"/>
  <c r="D59" i="1"/>
  <c r="D53" i="1"/>
  <c r="D46" i="1"/>
  <c r="D44" i="1"/>
  <c r="D39" i="1"/>
  <c r="D32" i="1"/>
  <c r="D31" i="1"/>
  <c r="D29" i="1"/>
  <c r="D26" i="1"/>
  <c r="D19" i="1"/>
  <c r="D18" i="1"/>
  <c r="D16" i="1"/>
  <c r="D15" i="1"/>
  <c r="D9" i="1"/>
  <c r="D8" i="1"/>
  <c r="D2" i="1"/>
</calcChain>
</file>

<file path=xl/sharedStrings.xml><?xml version="1.0" encoding="utf-8"?>
<sst xmlns="http://schemas.openxmlformats.org/spreadsheetml/2006/main" count="348" uniqueCount="347">
  <si>
    <t>Territorialidades</t>
  </si>
  <si>
    <t>IDHM Longevidade 2000</t>
  </si>
  <si>
    <t>IDHM Longevidade 2010</t>
  </si>
  <si>
    <t>IDHM Educação 2000</t>
  </si>
  <si>
    <t>IDHM Educação 2010</t>
  </si>
  <si>
    <t>Agronomia ( bairro ) (Porto Alegre,  - Porto Alegre)</t>
  </si>
  <si>
    <t>Agronomia : Campus do Vale UFRGS (Porto Alegre,  - Porto Alegre)</t>
  </si>
  <si>
    <t>Agronomia : Lomba (Porto Alegre,  - Porto Alegre)</t>
  </si>
  <si>
    <t>Agronomia : Vila Biriba (Porto Alegre,  - Porto Alegre)</t>
  </si>
  <si>
    <t>Agronomia : Vila Esmeralda (Porto Alegre,  - Porto Alegre)</t>
  </si>
  <si>
    <t>Agronomia : Vila Moro dos Índios / Beco dos Cafunchos (Porto Alegre,  - Porto Alegre)</t>
  </si>
  <si>
    <t>Anchieta ( bairro ) (Porto Alegre,  - Porto Alegre)</t>
  </si>
  <si>
    <t>Arquipélago : Flores / Pintada ( sul ) / Casa da Pólvora (Porto Alegre,  - Porto Alegre)</t>
  </si>
  <si>
    <t>Arquipélago : Ilha da Pintada ( norte ) (Porto Alegre,  - Porto Alegre)</t>
  </si>
  <si>
    <t>Arquipélago : Ilha da Pintada (Porto Alegre,  - Porto Alegre)</t>
  </si>
  <si>
    <t>Arquipélago : Ilha Grande dos Marinheiros (Porto Alegre,  - Porto Alegre)</t>
  </si>
  <si>
    <t>Arquipélago : Ilhas do Pavão, dos Marinheiros e Flores ( norte ) / João Inácio da Silveira (Porto Alegre,  - Porto Alegre)</t>
  </si>
  <si>
    <t>Arquipélago : Ilhas do Pavão e dos Marinheiros (Porto Alegre,  - Porto Alegre)</t>
  </si>
  <si>
    <t>Auxiliadora (Porto Alegre,  - Porto Alegre)</t>
  </si>
  <si>
    <t>Azenha ( bairro ) (Porto Alegre,  - Porto Alegre)</t>
  </si>
  <si>
    <t>Azenha : Loteamento Princesa Izabel (Porto Alegre,  - Porto Alegre)</t>
  </si>
  <si>
    <t>Bela Vista (Porto Alegre,  - Porto Alegre)</t>
  </si>
  <si>
    <t>Belém Novo ( bairro ) (Porto Alegre,  - Porto Alegre)</t>
  </si>
  <si>
    <t>Belém Novo : Boa Vista (Porto Alegre,  - Porto Alegre)</t>
  </si>
  <si>
    <t>Belém Novo : Juca Batista / Melo Guimarães / Flores da Cunha / Nossa Senhora de Belém / Linguiça / Trip (Porto Alegre,  - Porto Alegre)</t>
  </si>
  <si>
    <t>Belém Novo : Leblon / Copacabana / Veludo / Chavante / Amizade (Porto Alegre,  - Porto Alegre)</t>
  </si>
  <si>
    <t>Belém Novo : Mário Carvalho (Porto Alegre,  - Porto Alegre)</t>
  </si>
  <si>
    <t>Belém Novo : Vila Esperança (Porto Alegre,  - Porto Alegre)</t>
  </si>
  <si>
    <t>Belém Novo : Vila Julia / Giulian (Porto Alegre,  - Porto Alegre)</t>
  </si>
  <si>
    <t>Belém Velho : Boqueirão / Watanabe (Porto Alegre,  - Porto Alegre)</t>
  </si>
  <si>
    <t>Belém Velho : Condomínio Mariante (Porto Alegre,  - Porto Alegre)</t>
  </si>
  <si>
    <t>Belém Velho : Hospital Parque Belém (Porto Alegre,  - Porto Alegre)</t>
  </si>
  <si>
    <t>Boa Vista ( bairro ) (Porto Alegre,  - Porto Alegre)</t>
  </si>
  <si>
    <t>Boa Vista : Núcleo Anita (Porto Alegre,  - Porto Alegre)</t>
  </si>
  <si>
    <t>Bom Fim (Porto Alegre,  - Porto Alegre)</t>
  </si>
  <si>
    <t>Bom Jesus : Carumbé (Porto Alegre,  - Porto Alegre)</t>
  </si>
  <si>
    <t>Bom Jesus : CEEE (Porto Alegre,  - Porto Alegre)</t>
  </si>
  <si>
    <t>Bom Jesus : Panamá / USB Bom Jesus (Porto Alegre,  - Porto Alegre)</t>
  </si>
  <si>
    <t>Bom Jesus : Patagonia (Porto Alegre,  - Porto Alegre)</t>
  </si>
  <si>
    <t>Bom Jesus : Santa Izabel (Porto Alegre,  - Porto Alegre)</t>
  </si>
  <si>
    <t>Bom Jesus : São Mateus (Porto Alegre,  - Porto Alegre)</t>
  </si>
  <si>
    <t>Bom Jesus : Vila Mato Sampaio / Divinéia / Fátima (Porto Alegre,  - Porto Alegre)</t>
  </si>
  <si>
    <t>Camaquã : Bazílio Pellin Filho / Jardim Camaquã (Porto Alegre,  - Porto Alegre)</t>
  </si>
  <si>
    <t>Camaquã : Delfina da Cunha (Porto Alegre,  - Porto Alegre)</t>
  </si>
  <si>
    <t>Camaquã : Otto Niemeyer / Teotônia (Porto Alegre,  - Porto Alegre)</t>
  </si>
  <si>
    <t>Camaquã : Travessa Escobar (Porto Alegre,  - Porto Alegre)</t>
  </si>
  <si>
    <t>Camaquã : Vila São Vicente Martir (Porto Alegre,  - Porto Alegre)</t>
  </si>
  <si>
    <t>Campo Novo ( bairro ) (Porto Alegre,  - Porto Alegre)</t>
  </si>
  <si>
    <t>Campo Novo : Vila Chapatral (Porto Alegre,  - Porto Alegre)</t>
  </si>
  <si>
    <t>Cascata : Alpes (Porto Alegre,  - Porto Alegre)</t>
  </si>
  <si>
    <t>Cascata : Ascenção (Porto Alegre,  - Porto Alegre)</t>
  </si>
  <si>
    <t>Cascata : Canudos / Batillanas (Porto Alegre,  - Porto Alegre)</t>
  </si>
  <si>
    <t>Cascata : Santiago Dantas (Porto Alegre,  - Porto Alegre)</t>
  </si>
  <si>
    <t>Cascata : São Lourenço (Porto Alegre,  - Porto Alegre)</t>
  </si>
  <si>
    <t>Cascata : Vila Graciliano Ramos (Porto Alegre,  - Porto Alegre)</t>
  </si>
  <si>
    <t>Cascata : Vila Nossa Senhora da Glória (Porto Alegre,  - Porto Alegre)</t>
  </si>
  <si>
    <t>Cavalhada : Av. Vicente Monteggia (Porto Alegre,  - Porto Alegre)</t>
  </si>
  <si>
    <t>Cavalhada ( bairro ) (Porto Alegre,  - Porto Alegre)</t>
  </si>
  <si>
    <t>Cavalhada : Cidade de Deus (Porto Alegre,  - Porto Alegre)</t>
  </si>
  <si>
    <t>Cavalhada : Jardim das Palmeiras (Porto Alegre,  - Porto Alegre)</t>
  </si>
  <si>
    <t>Cavalhada : Loteamento Cavalhada (Porto Alegre,  - Porto Alegre)</t>
  </si>
  <si>
    <t>Cavalhada : Vila Santa Efigênia (Porto Alegre,  - Porto Alegre)</t>
  </si>
  <si>
    <t>Cel Aparício Borges : Chácara do Primeiro / Pantanal / Saibreira (Porto Alegre,  - Porto Alegre)</t>
  </si>
  <si>
    <t>Cel Aparício Borges : Sargento Witt / Chácara das Bananeiras (Porto Alegre,  - Porto Alegre)</t>
  </si>
  <si>
    <t>Cel Aparício Borges : Veiga / Guedes da Luz (Porto Alegre,  - Porto Alegre)</t>
  </si>
  <si>
    <t>Cel Aparício Borges : Volta da Cobra / Linha de Tiro I e II (Porto Alegre,  - Porto Alegre)</t>
  </si>
  <si>
    <t>Centro Histórico (Porto Alegre,  - Porto Alegre)</t>
  </si>
  <si>
    <t>Chácara das Pedras (Porto Alegre,  - Porto Alegre)</t>
  </si>
  <si>
    <t>Chapéu do Sol ( bairro ) (Porto Alegre,  - Porto Alegre)</t>
  </si>
  <si>
    <t>Chapéu do Sol : Becos Pradinho / Nestlé / Sabino (Porto Alegre,  - Porto Alegre)</t>
  </si>
  <si>
    <t>Cidade Baixa (Porto Alegre,  - Porto Alegre)</t>
  </si>
  <si>
    <t>Cristal : Angelo Corso (Porto Alegre,  - Porto Alegre)</t>
  </si>
  <si>
    <t>Cristal : Av. Doutor Campos Velho (Porto Alegre,  - Porto Alegre)</t>
  </si>
  <si>
    <t>Cristal : Bororó (Porto Alegre,  - Porto Alegre)</t>
  </si>
  <si>
    <t>Cristal : Coronel Claudino / Chico Pedro (Porto Alegre,  - Porto Alegre)</t>
  </si>
  <si>
    <t>Cristal : Diário de Notícias / Estaleiro (Porto Alegre,  - Porto Alegre)</t>
  </si>
  <si>
    <t>Cristal : Museu Iberê Camargo (Porto Alegre,  - Porto Alegre)</t>
  </si>
  <si>
    <t>Cristal : Pedreira (Porto Alegre,  - Porto Alegre)</t>
  </si>
  <si>
    <t>Cristal : Resbalo (Porto Alegre,  - Porto Alegre)</t>
  </si>
  <si>
    <t>Cristal : São Martilho (Porto Alegre,  - Porto Alegre)</t>
  </si>
  <si>
    <t>Cristal : Vila Cristal (Porto Alegre,  - Porto Alegre)</t>
  </si>
  <si>
    <t>Cristal : Vila Massot (Porto Alegre,  - Porto Alegre)</t>
  </si>
  <si>
    <t>Cristo Redentor (Porto Alegre,  - Porto Alegre)</t>
  </si>
  <si>
    <t>Espírito Santo : Altos do Ipê (Porto Alegre,  - Porto Alegre)</t>
  </si>
  <si>
    <t>Espírito Santo : Guaranis (Porto Alegre,  - Porto Alegre)</t>
  </si>
  <si>
    <t>Espírito Santo : Jardim Esplanada (Porto Alegre,  - Porto Alegre)</t>
  </si>
  <si>
    <t>Espírito Santo : Joaquim Felizardo (Porto Alegre,  - Porto Alegre)</t>
  </si>
  <si>
    <t>Farrapos : Famello (Porto Alegre,  - Porto Alegre)</t>
  </si>
  <si>
    <t>Farrapos : SESI / Igreja Santíssima Trindade (Porto Alegre,  - Porto Alegre)</t>
  </si>
  <si>
    <t>Farrapos : Vila Liberdade e Tio Zeca (Porto Alegre,  - Porto Alegre)</t>
  </si>
  <si>
    <t>Farroupilha (Porto Alegre,  - Porto Alegre)</t>
  </si>
  <si>
    <t>Floresta ( bairro ) (Porto Alegre,  - Porto Alegre)</t>
  </si>
  <si>
    <t>Floresta : Loteamento Santa Terezinha / Vila Central (Porto Alegre,  - Porto Alegre)</t>
  </si>
  <si>
    <t>Floresta : Marques do Pombal (Porto Alegre,  - Porto Alegre)</t>
  </si>
  <si>
    <t>Glória ( bairro ) (Porto Alegre,  - Porto Alegre)</t>
  </si>
  <si>
    <t>Glória : Vila Colina Verde (Porto Alegre,  - Porto Alegre)</t>
  </si>
  <si>
    <t>Guarujá ( bairro ) (Porto Alegre,  - Porto Alegre)</t>
  </si>
  <si>
    <t>Guarujá : Vila Guarujá / Santina (Porto Alegre,  - Porto Alegre)</t>
  </si>
  <si>
    <t>Guarujá : Vila Oliveira / Beco do Picapau / Beco Guará (Porto Alegre,  - Porto Alegre)</t>
  </si>
  <si>
    <t>Higienópolis (Porto Alegre,  - Porto Alegre)</t>
  </si>
  <si>
    <t>Hípica : Beco do Adelar (Porto Alegre,  - Porto Alegre)</t>
  </si>
  <si>
    <t>Hípica : Edgar Pires de Castro / Juca Batista / Dorival Castilho Machado (Porto Alegre,  - Porto Alegre)</t>
  </si>
  <si>
    <t>Hípica : Edgar Pires de Castro / Sérgio Stimamilo (Porto Alegre,  - Porto Alegre)</t>
  </si>
  <si>
    <t>Hípica : Moradas da Hípica (Porto Alegre,  - Porto Alegre)</t>
  </si>
  <si>
    <t>Hípica : Vila Guabiroba / Juca Batista 6005 (Porto Alegre,  - Porto Alegre)</t>
  </si>
  <si>
    <t>Humaitá : Jardim Tulipa (Porto Alegre,  - Porto Alegre)</t>
  </si>
  <si>
    <t>Humaitá : Parque Mascarenhas (Porto Alegre,  - Porto Alegre)</t>
  </si>
  <si>
    <t>Humaitá : Vila Dona Teodora / Ferroviários (Porto Alegre,  - Porto Alegre)</t>
  </si>
  <si>
    <t>Humaitá : Vila Santo André / Adubos Trevo (Porto Alegre,  - Porto Alegre)</t>
  </si>
  <si>
    <t>Independência : André Puente (Porto Alegre,  - Porto Alegre)</t>
  </si>
  <si>
    <t>Independência : Barros Cassal (Porto Alegre,  - Porto Alegre)</t>
  </si>
  <si>
    <t>Independência : Vasco da Gama (Porto Alegre,  - Porto Alegre)</t>
  </si>
  <si>
    <t>Ipanema ( bairro) (Porto Alegre,  - Porto Alegre)</t>
  </si>
  <si>
    <t>Ipanema : Cavalhada (Porto Alegre,  - Porto Alegre)</t>
  </si>
  <si>
    <t>Ipanema : Coronel Marcos / Ipanema Sports (Porto Alegre,  - Porto Alegre)</t>
  </si>
  <si>
    <t>Ipanema : Dea Coufal / Parque Residencial Knorr / Jardim do Sol (Porto Alegre,  - Porto Alegre)</t>
  </si>
  <si>
    <t>Ipanema : Morro Alto (Porto Alegre,  - Porto Alegre)</t>
  </si>
  <si>
    <t>Ipanema : Morro do Osso (Porto Alegre,  - Porto Alegre)</t>
  </si>
  <si>
    <t>Ipanema : Roseira (Porto Alegre,  - Porto Alegre)</t>
  </si>
  <si>
    <t>Ipanema : Rossatos / Biazetto (Porto Alegre,  - Porto Alegre)</t>
  </si>
  <si>
    <t>Ipanema : Tapete Verde / Jardim Verde / Parque Imperial (Porto Alegre,  - Porto Alegre)</t>
  </si>
  <si>
    <t>Ipanema : Vila Mutirantes V (Porto Alegre,  - Porto Alegre)</t>
  </si>
  <si>
    <t>Jardim Botânico ( bairro ) (Porto Alegre,  - Porto Alegre)</t>
  </si>
  <si>
    <t>Jardim Botânico : Doutor Juliano Moreira (Porto Alegre,  - Porto Alegre)</t>
  </si>
  <si>
    <t>Jardim Carvalho : CEFER (Porto Alegre,  - Porto Alegre)</t>
  </si>
  <si>
    <t>Jardim Carvalho : Colina do Prado / Grécia (Porto Alegre,  - Porto Alegre)</t>
  </si>
  <si>
    <t>Jardim Carvalho : Jardim Itália / Plano 100 (Porto Alegre,  - Porto Alegre)</t>
  </si>
  <si>
    <t>Jardim Carvalho : Terra Mater (Porto Alegre,  - Porto Alegre)</t>
  </si>
  <si>
    <t>Jardim do Salso : Cristiano Fischer (Porto Alegre,  - Porto Alegre)</t>
  </si>
  <si>
    <t>Jardim do Salso : São Benedito (Porto Alegre,  - Porto Alegre)</t>
  </si>
  <si>
    <t>Jardim Floresta : Conselheiro D’Ávila (Porto Alegre,  - Porto Alegre)</t>
  </si>
  <si>
    <t>Jardim Floresta : Praça Tamoio (Porto Alegre,  - Porto Alegre)</t>
  </si>
  <si>
    <t>Jardim Isabel (Porto Alegre,  - Porto Alegre)</t>
  </si>
  <si>
    <t>Jardim Itu : Luiz Carvalho (Porto Alegre,  - Porto Alegre)</t>
  </si>
  <si>
    <t>Jardim Itu : Rua Paul Harris (Porto Alegre,  - Porto Alegre)</t>
  </si>
  <si>
    <t>Jardim Lindóia (Porto Alegre,  - Porto Alegre)</t>
  </si>
  <si>
    <t>Jardim Sabará : Otávio dos Santos / Guadalajara (Porto Alegre,  - Porto Alegre)</t>
  </si>
  <si>
    <t>Jardim Sabará : Parque do Sol (Porto Alegre,  - Porto Alegre)</t>
  </si>
  <si>
    <t>Jardim Sabará : Vila Ernesto Pellanda (Porto Alegre,  - Porto Alegre)</t>
  </si>
  <si>
    <t>Jardim Sabará : Vila Margarita (Porto Alegre,  - Porto Alegre)</t>
  </si>
  <si>
    <t>Jardim São Pedro (Porto Alegre,  - Porto Alegre)</t>
  </si>
  <si>
    <t>Lageado ( bairro) (Porto Alegre,  - Porto Alegre)</t>
  </si>
  <si>
    <t>Lageado : Beco da Vitória (Porto Alegre,  - Porto Alegre)</t>
  </si>
  <si>
    <t>Lageado : Costa do Cerro / Beco do Parafuso (Porto Alegre,  - Porto Alegre)</t>
  </si>
  <si>
    <t>Lageado : São Caetano / Jardim Europa (Extrema) / Canta Galo / Varejão / Quirinas (Porto Alegre,  - Porto Alegre)</t>
  </si>
  <si>
    <t>Lami : Beira Rio / Sapolandia / Ocupação Arroio Manecão (Porto Alegre,  - Porto Alegre)</t>
  </si>
  <si>
    <t>Lami : Ocupação Otaviano Jose Pinto / Pontal / Reserva Biológica (Porto Alegre,  - Porto Alegre)</t>
  </si>
  <si>
    <t>Lomba do Pinheiro ( bairro ) (Porto Alegre,  - Porto Alegre)</t>
  </si>
  <si>
    <t>Lomba do Pinheiro : Loteamento Quinta do Portal / Cooperativa Habitacional (Porto Alegre,  - Porto Alegre)</t>
  </si>
  <si>
    <t>Lomba do Pinheiro : Parque dos Eucaliptos / Vila Pitinga (Porto Alegre,  - Porto Alegre)</t>
  </si>
  <si>
    <t>Lomba do Pinheiro : Rarefeita (Porto Alegre,  - Porto Alegre)</t>
  </si>
  <si>
    <t>Lomba do Pinheiro : Taquara / Marau / Cacimbas (Porto Alegre,  - Porto Alegre)</t>
  </si>
  <si>
    <t>Lomba do Pinheiro : Vila Mapa II / Elo Perdido (Porto Alegre,  - Porto Alegre)</t>
  </si>
  <si>
    <t>Lomba do Pinheiro : Vila Recreio da Divisa / Nova Serra Verde / Vila Rocha (Porto Alegre,  - Porto Alegre)</t>
  </si>
  <si>
    <t>Mário Quintana : Batista Flores (Porto Alegre,  - Porto Alegre)</t>
  </si>
  <si>
    <t>Mário Quintana : Chico Mendes (Porto Alegre,  - Porto Alegre)</t>
  </si>
  <si>
    <t>Mário Quintana : Condomínio Amizade / Cooperativa Renascer / Rossi Empreendimentos / Residencial Machado (Porto Alegre,  - Porto Alegre)</t>
  </si>
  <si>
    <t>Mário Quintana : Loteamento Parque das Orquídeas / Vilas Mimo de Vênus / Athenis / Jardim Protásio Alves II (Porto Alegre,  - Porto Alegre)</t>
  </si>
  <si>
    <t>Mário Quintana : Loteamento Verdes Campos (Porto Alegre,  - Porto Alegre)</t>
  </si>
  <si>
    <t>Mário Quintana : Recanto do Sabiá (Porto Alegre,  - Porto Alegre)</t>
  </si>
  <si>
    <t>Mário Quintana : Safira Nova (Porto Alegre,  - Porto Alegre)</t>
  </si>
  <si>
    <t>Mário Quintana : Timbaúva I, II e III / Wenceslau Fontoura (Porto Alegre,  - Porto Alegre)</t>
  </si>
  <si>
    <t>Mário Quintana : Vila Jardim Protásio Alves (Porto Alegre,  - Porto Alegre)</t>
  </si>
  <si>
    <t>Mário Quintana : Vila Safira / Safira Nova / Batista Flores (Porto Alegre,  - Porto Alegre)</t>
  </si>
  <si>
    <t>Mário Quintana : Vilas João Goulart / Santana II / Eucaliptos / Mutirão / Chico Mendes / Valneri Antunes / Jardim Leopoldina III (Porto Alegre,  - Porto Alegre)</t>
  </si>
  <si>
    <t>Medianeira (Porto Alegre,  - Porto Alegre)</t>
  </si>
  <si>
    <t>Menino Deus ( bairro ) (Porto Alegre,  - Porto Alegre)</t>
  </si>
  <si>
    <t>Menino Deus : Condomínio Lupicínio Rodrigues (Porto Alegre,  - Porto Alegre)</t>
  </si>
  <si>
    <t>Menino Deus : Ganzo / Visconde do Herval (Porto Alegre,  - Porto Alegre)</t>
  </si>
  <si>
    <t>Menino Deus : Luiz Guaragna (Porto Alegre,  - Porto Alegre)</t>
  </si>
  <si>
    <t>Moinhos de Vento (Porto Alegre,  - Porto Alegre)</t>
  </si>
  <si>
    <t>Mont´Serrat (Porto Alegre,  - Porto Alegre)</t>
  </si>
  <si>
    <t>Morro Santana : FAPA (Porto Alegre,  - Porto Alegre)</t>
  </si>
  <si>
    <t>Morro Santana : Protásio / Verde Hugo Livi (Porto Alegre,  - Porto Alegre)</t>
  </si>
  <si>
    <t>Morro Santana : Vila Laranjeiras / Tijuca (Porto Alegre,  - Porto Alegre)</t>
  </si>
  <si>
    <t>Navagantes ( bairro ) (Porto Alegre,  - Porto Alegre)</t>
  </si>
  <si>
    <t>Navagantes : DC Navegantes / Casa de Passagem (Porto Alegre,  - Porto Alegre)</t>
  </si>
  <si>
    <t>Nonoai ( bairro ) (Porto Alegre,  - Porto Alegre)</t>
  </si>
  <si>
    <t>Nonoai : Beco do Sorrisso / Menezes Paredes (Porto Alegre,  - Porto Alegre)</t>
  </si>
  <si>
    <t>Nonoai : Cachoeira (Porto Alegre,  - Porto Alegre)</t>
  </si>
  <si>
    <t>Nonoai : Chácara Sperb / Alto Erechim (Porto Alegre,  - Porto Alegre)</t>
  </si>
  <si>
    <t>Nonoai : Dario Totta (Porto Alegre,  - Porto Alegre)</t>
  </si>
  <si>
    <t>Nonoai : Morro Teresópolis (Porto Alegre,  - Porto Alegre)</t>
  </si>
  <si>
    <t>Nonoai : Teresópolis (Porto Alegre,  - Porto Alegre)</t>
  </si>
  <si>
    <t>Nonoai : Vila Vicente Monteggia (Porto Alegre,  - Porto Alegre)</t>
  </si>
  <si>
    <t>Partenon : Batista Xavier / Manoel Vitorino (Porto Alegre,  - Porto Alegre)</t>
  </si>
  <si>
    <t>Partenon : Carlos De Laet (Porto Alegre,  - Porto Alegre)</t>
  </si>
  <si>
    <t>Partenon : Cosme e Damião (Porto Alegre,  - Porto Alegre)</t>
  </si>
  <si>
    <t>Partenon : Frei Germano / Jardim Guanabara / Intercap (Porto Alegre,  - Porto Alegre)</t>
  </si>
  <si>
    <t>Partenon : João Bonuma / Capitão Cristalino Fagundes (Porto Alegre,  - Porto Alegre)</t>
  </si>
  <si>
    <t>Partenon : Padre Tedesco / Nelson Zang (Porto Alegre,  - Porto Alegre)</t>
  </si>
  <si>
    <t>Partenon : Partenon Tênis Clube (Porto Alegre,  - Porto Alegre)</t>
  </si>
  <si>
    <t>Partenon : Praça Franklin Verissimo (Porto Alegre,  - Porto Alegre)</t>
  </si>
  <si>
    <t>Partenon : São Guilherme / Luizinha / Tijuca (Porto Alegre,  - Porto Alegre)</t>
  </si>
  <si>
    <t>Partenon : Vila Cachorro Sentado / São Judas Tadeu / Salvador França (Porto Alegre,  - Porto Alegre)</t>
  </si>
  <si>
    <t>Partenon : Vila Ceres (Porto Alegre,  - Porto Alegre)</t>
  </si>
  <si>
    <t>Partenon : Vila Maria da Conceição (Nossa Senhora do Brasil) (Porto Alegre,  - Porto Alegre)</t>
  </si>
  <si>
    <t>Partenon : Vila Maria da Conceição (Parque Casa da Criança) (Porto Alegre,  - Porto Alegre)</t>
  </si>
  <si>
    <t>Partenon : Vila Santa Clara (Porto Alegre,  - Porto Alegre)</t>
  </si>
  <si>
    <t>Passo d’Areia : Country Club / Cosme e Galvão / Vila Keddie (Porto Alegre,  - Porto Alegre)</t>
  </si>
  <si>
    <t>Passo d’Areia : Vila do IAPI / Obirici (Porto Alegre,  - Porto Alegre)</t>
  </si>
  <si>
    <t>Passo das Pedras : Jardim dos Coqueiros II (Porto Alegre,  - Porto Alegre)</t>
  </si>
  <si>
    <t>Passo das Pedras : Jardim Planalto I (Porto Alegre,  - Porto Alegre)</t>
  </si>
  <si>
    <t>Passo das Pedras : Passo das Pedras II (Porto Alegre,  - Porto Alegre)</t>
  </si>
  <si>
    <t>Passo das Pedras : Vila Ingá / Jardim Planalto II (Porto Alegre,  - Porto Alegre)</t>
  </si>
  <si>
    <t>Passo das Pedras : Vila Passo das Pedras I e II (Porto Alegre,  - Porto Alegre)</t>
  </si>
  <si>
    <t>Petrópolis : Av. Antônio Carlos Tibiriça (Porto Alegre,  - Porto Alegre)</t>
  </si>
  <si>
    <t>Petrópolis : Av. Ferreira Viana (Porto Alegre,  - Porto Alegre)</t>
  </si>
  <si>
    <t>Petrópolis : Av. Ijuí / Grêmio Naútico União (Porto Alegre,  - Porto Alegre)</t>
  </si>
  <si>
    <t>Ponta Grossa : Retiro da Ponta Grossa (Porto Alegre,  - Porto Alegre)</t>
  </si>
  <si>
    <t>Ponta Grossa : Vila Túnel Verde / Estrada Ponta Grossa / Jardim Santa Mônica (Porto Alegre,  - Porto Alegre)</t>
  </si>
  <si>
    <t>Praia de Belas ( bairro ) (Porto Alegre,  - Porto Alegre)</t>
  </si>
  <si>
    <t>Praia de Belas : Vila Chocolatão / Vila Aldeia (Porto Alegre,  - Porto Alegre)</t>
  </si>
  <si>
    <t>Restinga : Chácara do Banco (Porto Alegre,  - Porto Alegre)</t>
  </si>
  <si>
    <t>Restinga : Governador Walter Perachi ( 4ª Unidade ) (Porto Alegre,  - Porto Alegre)</t>
  </si>
  <si>
    <t>Restinga : Morro Sul (Porto Alegre,  - Porto Alegre)</t>
  </si>
  <si>
    <t>Restinga : Pires de Castro (Porto Alegre,  - Porto Alegre)</t>
  </si>
  <si>
    <t>Restinga : Pitinga (Porto Alegre,  - Porto Alegre)</t>
  </si>
  <si>
    <t>Restinga : Quinta Unidade (Porto Alegre,  - Porto Alegre)</t>
  </si>
  <si>
    <t>Restinga : Restinga Nova ( 1ª Unidade ) (Porto Alegre,  - Porto Alegre)</t>
  </si>
  <si>
    <t>Restinga : Restinga Nova ( 3ª Unidade ) / Distrito Industrial (Porto Alegre,  - Porto Alegre)</t>
  </si>
  <si>
    <t>Restinga : Restinga Nova ( 3ª Unidade ) / Nilo Wulf (Porto Alegre,  - Porto Alegre)</t>
  </si>
  <si>
    <t>Restinga : Restinga Nova / Área Fleck / Strighini / Vale do Salso / Rincão (Porto Alegre,  - Porto Alegre)</t>
  </si>
  <si>
    <t>Restinga : Restinga Nova / Ignes Fagundes (Porto Alegre,  - Porto Alegre)</t>
  </si>
  <si>
    <t>Restinga : Restinga Velha / Castelo Pedroso (Porto Alegre,  - Porto Alegre)</t>
  </si>
  <si>
    <t>Restinga : Restinga Velha / Elo Perdido (Porto Alegre,  - Porto Alegre)</t>
  </si>
  <si>
    <t>Restinga : Restinga Velha (Porto Alegre,  - Porto Alegre)</t>
  </si>
  <si>
    <t>Restinga : Vale do Salso (Porto Alegre,  - Porto Alegre)</t>
  </si>
  <si>
    <t>Restinga : Vila Baltimore / Costa Gama / Barro Vermelho (Porto Alegre,  - Porto Alegre)</t>
  </si>
  <si>
    <t>Restinga : Vila Bita (Porto Alegre,  - Porto Alegre)</t>
  </si>
  <si>
    <t>Restinga : Vila Castelo (Porto Alegre,  - Porto Alegre)</t>
  </si>
  <si>
    <t>Rio Branco : IPA (Porto Alegre,  - Porto Alegre)</t>
  </si>
  <si>
    <t>Rio Branco : Mariante (Porto Alegre,  - Porto Alegre)</t>
  </si>
  <si>
    <t>Rubem Berta : Beco Dona Regina (Porto Alegre,  - Porto Alegre)</t>
  </si>
  <si>
    <t>Rubem Berta : Cohab Costa e Silva (Porto Alegre,  - Porto Alegre)</t>
  </si>
  <si>
    <t>Rubem Berta : Conjunto Residencial Rubem Berta / Vila Unidos (Porto Alegre,  - Porto Alegre)</t>
  </si>
  <si>
    <t>Rubem Berta : Jardim Leopoldina (Porto Alegre,  - Porto Alegre)</t>
  </si>
  <si>
    <t>Rubem Berta : Loteamento Santa Maria / Jardim da Amizade / Loteamento Dom Pedro (Porto Alegre,  - Porto Alegre)</t>
  </si>
  <si>
    <t>Rubem Berta : Paço da Mangueira (Porto Alegre,  - Porto Alegre)</t>
  </si>
  <si>
    <t>Rubem Berta : Parque Madepinho / Alpino / Santa Fé (Porto Alegre,  - Porto Alegre)</t>
  </si>
  <si>
    <t>Rubem Berta : Residencial São Francisco (Porto Alegre,  - Porto Alegre)</t>
  </si>
  <si>
    <t>Rubem Berta : Teresinha Turcato / Madre Paulina (Porto Alegre,  - Porto Alegre)</t>
  </si>
  <si>
    <t>Rubem Berta : Triângulo Assis Brasil (Porto Alegre,  - Porto Alegre)</t>
  </si>
  <si>
    <t>Rubem Berta : Vila Alexandrina / Loteamento VARIG / Vila Fátima (Porto Alegre,  - Porto Alegre)</t>
  </si>
  <si>
    <t>Rubem Berta : Vila Amazônia (Porto Alegre,  - Porto Alegre)</t>
  </si>
  <si>
    <t>Rubem Berta : Vila Davi Canabarro (Porto Alegre,  - Porto Alegre)</t>
  </si>
  <si>
    <t>Rubem Berta : Vila Esperança Cordeiro / Nova Esperança (Porto Alegre,  - Porto Alegre)</t>
  </si>
  <si>
    <t>Santa Cecília (Porto Alegre,  - Porto Alegre)</t>
  </si>
  <si>
    <t>Santa Maria Goretti (Porto Alegre,  - Porto Alegre)</t>
  </si>
  <si>
    <t>Santana ( bairro ) (Porto Alegre,  - Porto Alegre)</t>
  </si>
  <si>
    <t>Santana : Vila Barnabé (Porto Alegre,  - Porto Alegre)</t>
  </si>
  <si>
    <t>Santana : Vila Planetário (Porto Alegre,  - Porto Alegre)</t>
  </si>
  <si>
    <t>Santana : Vila Sossego (Porto Alegre,  - Porto Alegre)</t>
  </si>
  <si>
    <t>Santa Tereza : Arroio Passo Fundo (Porto Alegre,  - Porto Alegre)</t>
  </si>
  <si>
    <t>Santa Tereza : Brasil (Porto Alegre,  - Porto Alegre)</t>
  </si>
  <si>
    <t>Santa Tereza : Dona Malvina (Porto Alegre,  - Porto Alegre)</t>
  </si>
  <si>
    <t>Santa Tereza : Jardim Europa (Porto Alegre,  - Porto Alegre)</t>
  </si>
  <si>
    <t>Santa Tereza : Jardim Medianeira (Porto Alegre,  - Porto Alegre)</t>
  </si>
  <si>
    <t>Santa Tereza : Mariano de Matos (Porto Alegre,  - Porto Alegre)</t>
  </si>
  <si>
    <t>Santa Tereza : Medianeira (Porto Alegre,  - Porto Alegre)</t>
  </si>
  <si>
    <t>Santa Tereza : Orfanotrófio I (Porto Alegre,  - Porto Alegre)</t>
  </si>
  <si>
    <t>Santa Tereza : Prisma (Porto Alegre,  - Porto Alegre)</t>
  </si>
  <si>
    <t>Santa Tereza : Santa Cruz (Porto Alegre,  - Porto Alegre)</t>
  </si>
  <si>
    <t>Santa Tereza : Taquari / Irani (Porto Alegre,  - Porto Alegre)</t>
  </si>
  <si>
    <t>Santa Tereza : Vila Barracão / Condomínio (Porto Alegre,  - Porto Alegre)</t>
  </si>
  <si>
    <t>Santa Tereza : Vila Cruzeiro do Sul (Porto Alegre,  - Porto Alegre)</t>
  </si>
  <si>
    <t>Santa Tereza : Vila Dona Malvina / Dona Otília (Porto Alegre,  - Porto Alegre)</t>
  </si>
  <si>
    <t>Santa Tereza : Vila Ecológica (Porto Alegre,  - Porto Alegre)</t>
  </si>
  <si>
    <t>Santa Tereza : Vila Figueira (Porto Alegre,  - Porto Alegre)</t>
  </si>
  <si>
    <t>Santa Tereza : Vila Rio Branco (Porto Alegre,  - Porto Alegre)</t>
  </si>
  <si>
    <t>Santa Tereza : Vila Tronco II (Porto Alegre,  - Porto Alegre)</t>
  </si>
  <si>
    <t>Santa Tereza : Zaida / Dormênio (Porto Alegre,  - Porto Alegre)</t>
  </si>
  <si>
    <t>Santo Antônio (Porto Alegre,  - Porto Alegre)</t>
  </si>
  <si>
    <t>São Geraldo (Porto Alegre,  - Porto Alegre)</t>
  </si>
  <si>
    <t>São João : Igreja São João (Porto Alegre,  - Porto Alegre)</t>
  </si>
  <si>
    <t>São João : Sogipa (Porto Alegre,  - Porto Alegre)</t>
  </si>
  <si>
    <t>São João : Vila Dique I (Porto Alegre,  - Porto Alegre)</t>
  </si>
  <si>
    <t>São José : Clemente Pereira (Porto Alegre,  - Porto Alegre)</t>
  </si>
  <si>
    <t>São José : Dona Firmina / Nove de Junho (Porto Alegre,  - Porto Alegre)</t>
  </si>
  <si>
    <t>São José : Morro da Cruz / Vila São José / Chácara dos Bombeiros (Porto Alegre,  - Porto Alegre)</t>
  </si>
  <si>
    <t>São José : Vila Sudeste (Porto Alegre,  - Porto Alegre)</t>
  </si>
  <si>
    <t>São Sebastião ( bairro ) (Porto Alegre,  - Porto Alegre)</t>
  </si>
  <si>
    <t>São Sebastião : Vila Nazaré (Porto Alegre,  - Porto Alegre)</t>
  </si>
  <si>
    <t>Sarandi : Asa Branca (Porto Alegre,  - Porto Alegre)</t>
  </si>
  <si>
    <t>Sarandi : ECOVILLE / Sambódromo / Vila Vitória da Conquista / Residencial Porto Novo (Porto Alegre,  - Porto Alegre)</t>
  </si>
  <si>
    <t>Sarandi : Jardim Por do Sol / Fraternidade / Dutra Jardim (Porto Alegre,  - Porto Alegre)</t>
  </si>
  <si>
    <t>Sarandi : Loteamento do Bosque (Porto Alegre,  - Porto Alegre)</t>
  </si>
  <si>
    <t>Sarandi : Parque dos Maias (Porto Alegre,  - Porto Alegre)</t>
  </si>
  <si>
    <t>Sarandi : Santa Rosa / Parque dos Mayas / Nova Gleba (Porto Alegre,  - Porto Alegre)</t>
  </si>
  <si>
    <t>Sarandi : Santo Agostinho / Free Way / Trevo Assis Brasil (Porto Alegre,  - Porto Alegre)</t>
  </si>
  <si>
    <t>Sarandi : Vila Amazônia (Porto Alegre,  - Porto Alegre)</t>
  </si>
  <si>
    <t>Sarandi : Vila Dique / Minuano (Porto Alegre,  - Porto Alegre)</t>
  </si>
  <si>
    <t>Sarandi : Vila Elizabeth / Vila Leão / Nova Brasília (Porto Alegre,  - Porto Alegre)</t>
  </si>
  <si>
    <t>Sarandi : Vila Ipê São Borja (Porto Alegre,  - Porto Alegre)</t>
  </si>
  <si>
    <t>Sarandi : Vila Leão (Porto Alegre,  - Porto Alegre)</t>
  </si>
  <si>
    <t>Sarandi : Vila Nossa Senhora Aparecida / Vila Chimarrão (Porto Alegre,  - Porto Alegre)</t>
  </si>
  <si>
    <t>Sarandi : Vila Nova Brasília / Vila Elizabeth (Porto Alegre,  - Porto Alegre)</t>
  </si>
  <si>
    <t>Sarandi : Vila Santíssima Trindade (Porto Alegre,  - Porto Alegre)</t>
  </si>
  <si>
    <t>Sarandi : Vilas Caiu-do-Céu / Ipê São Borja / Nossa Senhora Aparecida (Porto Alegre,  - Porto Alegre)</t>
  </si>
  <si>
    <t>Sarandi : Vila Vitória da Conquista (Porto Alegre,  - Porto Alegre)</t>
  </si>
  <si>
    <t>Serraria ( bairro ) (Porto Alegre,  - Porto Alegre)</t>
  </si>
  <si>
    <t>Serraria : Vila dos Sargentos (Porto Alegre,  - Porto Alegre)</t>
  </si>
  <si>
    <t>Teresópolis : Asmobane (Porto Alegre,  - Porto Alegre)</t>
  </si>
  <si>
    <t>Teresópolis ( bairro ) (Porto Alegre,  - Porto Alegre)</t>
  </si>
  <si>
    <t>Teresópolis : Estrada dos Alpes (Porto Alegre,  - Porto Alegre)</t>
  </si>
  <si>
    <t>Teresópolis : Vila Gabriel Obino (Porto Alegre,  - Porto Alegre)</t>
  </si>
  <si>
    <t>Teresópolis : Vila Silva Paes (Porto Alegre,  - Porto Alegre)</t>
  </si>
  <si>
    <t>Três Figueiras (Porto Alegre,  - Porto Alegre)</t>
  </si>
  <si>
    <t>Tristeza (Porto Alegre,  - Porto Alegre)</t>
  </si>
  <si>
    <t>Vila Assunção ( bairro ) (Porto Alegre,  - Porto Alegre)</t>
  </si>
  <si>
    <t>Vila Assunção : Vila dos Pescadores (Porto Alegre,  - Porto Alegre)</t>
  </si>
  <si>
    <t>Vila Conceição ( bairro ) (Porto Alegre,  - Porto Alegre)</t>
  </si>
  <si>
    <t>Vila Conceição : Vila Pellin / Santa Bárbara (Porto Alegre,  - Porto Alegre)</t>
  </si>
  <si>
    <t>Vila Ipiranga : Benno Mentz (Porto Alegre,  - Porto Alegre)</t>
  </si>
  <si>
    <t>Vila Ipiranga : Iguatemi / Germânia (Porto Alegre,  - Porto Alegre)</t>
  </si>
  <si>
    <t>Vila Ipiranga : Marajó (Porto Alegre,  - Porto Alegre)</t>
  </si>
  <si>
    <t>Vila Jardim : Av. Circular / Souza Lobo (Porto Alegre,  - Porto Alegre)</t>
  </si>
  <si>
    <t>Vila Jardim : Beco Aquiles A e B (Porto Alegre,  - Porto Alegre)</t>
  </si>
  <si>
    <t>Vila Jardim : Beco Bica / Veiga Cabral (Porto Alegre,  - Porto Alegre)</t>
  </si>
  <si>
    <t>Vila Jardim : Beco Um Salvador Pinheiro / Souza Lobo (Porto Alegre,  - Porto Alegre)</t>
  </si>
  <si>
    <t>Vila Jardim : General Barreto Viana / Vila da Paz (Porto Alegre,  - Porto Alegre)</t>
  </si>
  <si>
    <t>Vila Jardim : Viela da Alegria (Porto Alegre,  - Porto Alegre)</t>
  </si>
  <si>
    <t>Vila Jardim : Vila Mirim / Beco Cananéia / Barreto Viana (Porto Alegre,  - Porto Alegre)</t>
  </si>
  <si>
    <t>Vila João Pessoa : Condor / Ernesto Di Primio Beck (Porto Alegre,  - Porto Alegre)</t>
  </si>
  <si>
    <t>Vila João Pessoa : Praça da Amizade / Praça Francisco Alves (Porto Alegre,  - Porto Alegre)</t>
  </si>
  <si>
    <t>Vila João Pessoa : Vila Campo da Tuca (Porto Alegre,  - Porto Alegre)</t>
  </si>
  <si>
    <t>Vila Nova : Atílio Supertti / Pedro Rodrigues Bitencourt (Porto Alegre,  - Porto Alegre)</t>
  </si>
  <si>
    <t>Vila Nova : Cohab Cavalhada (Porto Alegre,  - Porto Alegre)</t>
  </si>
  <si>
    <t>Vila Nova : Condomínio Cristal II (Porto Alegre,  - Porto Alegre)</t>
  </si>
  <si>
    <t>Vila Nova : Condomínio Cristal / Sócio ambiental (Porto Alegre,  - Porto Alegre)</t>
  </si>
  <si>
    <t>Vila Nova : Condomínio Village / Moradas da Luz / Jardim Vila Nova (Porto Alegre,  - Porto Alegre)</t>
  </si>
  <si>
    <t>Vila Nova : Cristiano Kraemer / Cinco Mil Cento e Vinte (Porto Alegre,  - Porto Alegre)</t>
  </si>
  <si>
    <t>Vila Nova : Igreja São José (Porto Alegre,  - Porto Alegre)</t>
  </si>
  <si>
    <t>Vila Nova : João Salomoni / Joaquim de Carvalho (Porto Alegre,  - Porto Alegre)</t>
  </si>
  <si>
    <t>Vila Nova : Kanazawa I e II (Porto Alegre,  - Porto Alegre)</t>
  </si>
  <si>
    <t>Vila Nova : Parque Knijnik (Porto Alegre,  - Porto Alegre)</t>
  </si>
  <si>
    <t>Vila Nova : Praça Suiça (Porto Alegre,  - Porto Alegre)</t>
  </si>
  <si>
    <t>Vila Nova : Ventura Pinto (Porto Alegre,  - Porto Alegre)</t>
  </si>
  <si>
    <t>Vila Nova : Vila Monte Cristo e Vila Monte Cristo II (Porto Alegre,  - Porto Alegre)</t>
  </si>
  <si>
    <t>Vila Nova : Vila Morro Quente (Porto Alegre,  - Porto Alegre)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</si>
  <si>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</si>
  <si>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</si>
  <si>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</si>
  <si>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Med_educ_2000</t>
  </si>
  <si>
    <t>Med_educ_2010</t>
  </si>
  <si>
    <t>Med_logi_2000</t>
  </si>
  <si>
    <t>Med_logi_2010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</si>
</sst>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339"/>
  <sheetViews>
    <sheetView tabSelected="1" zoomScale="60" zoomScaleNormal="60" workbookViewId="0">
      <selection activeCell="N2" sqref="N2"/>
    </sheetView>
  </sheetViews>
  <sheetFormatPr defaultRowHeight="15" x14ac:dyDescent="0.25"/>
  <cols>
    <col min="1" max="1" width="193" bestFit="1" customWidth="1"/>
    <col min="2" max="3" width="27" bestFit="1" customWidth="1"/>
    <col min="4" max="4" width="24" style="3" bestFit="1" customWidth="1"/>
    <col min="5" max="5" width="24" bestFit="1" customWidth="1"/>
    <col min="10" max="10" width="20.5703125" customWidth="1"/>
    <col min="11" max="11" width="23.85546875" customWidth="1"/>
    <col min="12" max="12" width="25.85546875" customWidth="1"/>
  </cols>
  <sheetData>
    <row r="1" spans="1:702" ht="15.75" x14ac:dyDescent="0.25">
      <c r="A1" s="1" t="s">
        <v>0</v>
      </c>
      <c r="B1" s="1" t="s">
        <v>1</v>
      </c>
      <c r="C1" s="1" t="s">
        <v>2</v>
      </c>
      <c r="D1" s="1" t="s">
        <v>343</v>
      </c>
      <c r="E1" s="1" t="s">
        <v>344</v>
      </c>
      <c r="F1" s="1"/>
      <c r="G1" s="1"/>
      <c r="H1" s="1"/>
      <c r="I1" s="1"/>
      <c r="J1" s="1" t="s">
        <v>3</v>
      </c>
      <c r="K1" s="1" t="s">
        <v>4</v>
      </c>
      <c r="L1" s="5" t="s">
        <v>345</v>
      </c>
      <c r="M1" s="5" t="s">
        <v>346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5">
      <c r="A2" s="2" t="s">
        <v>5</v>
      </c>
      <c r="B2">
        <v>0.77700000000000002</v>
      </c>
      <c r="C2">
        <v>0.81100000000000005</v>
      </c>
      <c r="D2" s="3">
        <f>MEDIAN(B2:B7)</f>
        <v>0.78249999999999997</v>
      </c>
      <c r="E2" s="3">
        <f>MEDIAN(C2:C7)</f>
        <v>0.81150000000000011</v>
      </c>
      <c r="J2">
        <v>0.47799999999999998</v>
      </c>
      <c r="K2">
        <v>0.65400000000000003</v>
      </c>
      <c r="L2" s="3">
        <f>MEDIAN(J2:J7)</f>
        <v>0.45099999999999996</v>
      </c>
      <c r="M2" s="3">
        <f>MEDIAN(K2:K7)</f>
        <v>0.60550000000000004</v>
      </c>
    </row>
    <row r="3" spans="1:702" x14ac:dyDescent="0.25">
      <c r="A3" s="2" t="s">
        <v>6</v>
      </c>
      <c r="B3">
        <v>0.83699999999999997</v>
      </c>
      <c r="C3">
        <v>0.89400000000000002</v>
      </c>
      <c r="E3" s="3"/>
      <c r="J3">
        <v>0.56699999999999995</v>
      </c>
      <c r="K3">
        <v>0.73099999999999998</v>
      </c>
      <c r="L3" s="3"/>
      <c r="M3" s="3"/>
    </row>
    <row r="4" spans="1:702" x14ac:dyDescent="0.25">
      <c r="A4" s="2" t="s">
        <v>7</v>
      </c>
      <c r="B4">
        <v>0.82</v>
      </c>
      <c r="C4">
        <v>0.86499999999999999</v>
      </c>
      <c r="E4" s="3"/>
      <c r="J4">
        <v>0.51300000000000001</v>
      </c>
      <c r="K4">
        <v>0.67200000000000004</v>
      </c>
      <c r="L4" s="3"/>
      <c r="M4" s="3"/>
    </row>
    <row r="5" spans="1:702" x14ac:dyDescent="0.25">
      <c r="A5" s="2" t="s">
        <v>8</v>
      </c>
      <c r="B5">
        <v>0.72399999999999998</v>
      </c>
      <c r="C5">
        <v>0.78400000000000003</v>
      </c>
      <c r="E5" s="3"/>
      <c r="J5">
        <v>0.30599999999999999</v>
      </c>
      <c r="K5">
        <v>0.46700000000000003</v>
      </c>
      <c r="L5" s="3"/>
      <c r="M5" s="3"/>
    </row>
    <row r="6" spans="1:702" x14ac:dyDescent="0.25">
      <c r="A6" s="2" t="s">
        <v>9</v>
      </c>
      <c r="B6">
        <v>0.72</v>
      </c>
      <c r="C6">
        <v>0.77300000000000002</v>
      </c>
      <c r="E6" s="3"/>
      <c r="J6">
        <v>0.32700000000000001</v>
      </c>
      <c r="K6">
        <v>0.52700000000000002</v>
      </c>
      <c r="L6" s="3"/>
      <c r="M6" s="3"/>
    </row>
    <row r="7" spans="1:702" x14ac:dyDescent="0.25">
      <c r="A7" s="2" t="s">
        <v>10</v>
      </c>
      <c r="B7">
        <v>0.78800000000000003</v>
      </c>
      <c r="C7">
        <v>0.81200000000000006</v>
      </c>
      <c r="E7" s="3"/>
      <c r="J7">
        <v>0.42399999999999999</v>
      </c>
      <c r="K7">
        <v>0.55700000000000005</v>
      </c>
      <c r="L7" s="3"/>
      <c r="M7" s="3"/>
    </row>
    <row r="8" spans="1:702" x14ac:dyDescent="0.25">
      <c r="A8" s="2" t="s">
        <v>11</v>
      </c>
      <c r="B8">
        <v>0.80500000000000005</v>
      </c>
      <c r="C8">
        <v>0.85199999999999998</v>
      </c>
      <c r="D8" s="3">
        <f>MEDIAN(B8)</f>
        <v>0.80500000000000005</v>
      </c>
      <c r="E8" s="3">
        <f>MEDIAN(C8)</f>
        <v>0.85199999999999998</v>
      </c>
      <c r="J8">
        <v>0.46200000000000002</v>
      </c>
      <c r="K8">
        <v>0.629</v>
      </c>
      <c r="L8" s="3">
        <f>MEDIAN(J8)</f>
        <v>0.46200000000000002</v>
      </c>
      <c r="M8" s="3">
        <f>MEDIAN(K8)</f>
        <v>0.629</v>
      </c>
    </row>
    <row r="9" spans="1:702" x14ac:dyDescent="0.25">
      <c r="A9" s="2" t="s">
        <v>12</v>
      </c>
      <c r="B9">
        <v>0.72599999999999998</v>
      </c>
      <c r="C9">
        <v>0.77300000000000002</v>
      </c>
      <c r="D9" s="3">
        <f>MEDIAN(B9:B14)</f>
        <v>0.72499999999999998</v>
      </c>
      <c r="E9" s="3">
        <f>MEDIAN(C9:C14)</f>
        <v>0.77950000000000008</v>
      </c>
      <c r="J9">
        <v>0.34499999999999997</v>
      </c>
      <c r="K9">
        <v>0.52700000000000002</v>
      </c>
      <c r="L9" s="3">
        <f>MEDIAN(J9:J14)</f>
        <v>0.32550000000000001</v>
      </c>
      <c r="M9" s="3">
        <f>MEDIAN(K9:K14)</f>
        <v>0.52600000000000002</v>
      </c>
    </row>
    <row r="10" spans="1:702" x14ac:dyDescent="0.25">
      <c r="A10" s="2" t="s">
        <v>13</v>
      </c>
      <c r="B10">
        <v>0.79300000000000004</v>
      </c>
      <c r="C10">
        <v>0.85599999999999998</v>
      </c>
      <c r="E10" s="3"/>
      <c r="J10">
        <v>0.48699999999999999</v>
      </c>
      <c r="K10">
        <v>0.61799999999999999</v>
      </c>
      <c r="L10" s="3"/>
      <c r="M10" s="3"/>
    </row>
    <row r="11" spans="1:702" x14ac:dyDescent="0.25">
      <c r="A11" s="2" t="s">
        <v>14</v>
      </c>
      <c r="B11">
        <v>0.72399999999999998</v>
      </c>
      <c r="C11">
        <v>0.78600000000000003</v>
      </c>
      <c r="E11" s="3"/>
      <c r="J11">
        <v>0.30599999999999999</v>
      </c>
      <c r="K11">
        <v>0.52500000000000002</v>
      </c>
      <c r="L11" s="3"/>
      <c r="M11" s="3"/>
    </row>
    <row r="12" spans="1:702" x14ac:dyDescent="0.25">
      <c r="A12" s="2" t="s">
        <v>15</v>
      </c>
      <c r="B12">
        <v>0.70699999999999996</v>
      </c>
      <c r="C12">
        <v>0.76300000000000001</v>
      </c>
      <c r="E12" s="3"/>
      <c r="J12">
        <v>0.23300000000000001</v>
      </c>
      <c r="K12">
        <v>0.438</v>
      </c>
      <c r="L12" s="3"/>
      <c r="M12" s="3"/>
    </row>
    <row r="13" spans="1:702" x14ac:dyDescent="0.25">
      <c r="A13" s="2" t="s">
        <v>16</v>
      </c>
      <c r="B13">
        <v>0.73399999999999999</v>
      </c>
      <c r="C13">
        <v>0.81200000000000006</v>
      </c>
      <c r="E13" s="3"/>
      <c r="J13">
        <v>0.35499999999999998</v>
      </c>
      <c r="K13">
        <v>0.55700000000000005</v>
      </c>
      <c r="L13" s="3"/>
      <c r="M13" s="3"/>
    </row>
    <row r="14" spans="1:702" x14ac:dyDescent="0.25">
      <c r="A14" s="2" t="s">
        <v>17</v>
      </c>
      <c r="B14">
        <v>0.70699999999999996</v>
      </c>
      <c r="C14">
        <v>0.76300000000000001</v>
      </c>
      <c r="E14" s="3"/>
      <c r="J14">
        <v>0.23300000000000001</v>
      </c>
      <c r="K14">
        <v>0.438</v>
      </c>
      <c r="L14" s="3"/>
      <c r="M14" s="3"/>
    </row>
    <row r="15" spans="1:702" x14ac:dyDescent="0.25">
      <c r="A15" s="2" t="s">
        <v>18</v>
      </c>
      <c r="B15">
        <v>0.88400000000000001</v>
      </c>
      <c r="C15">
        <v>0.93500000000000005</v>
      </c>
      <c r="D15" s="3">
        <f>MEDIAN(B15)</f>
        <v>0.88400000000000001</v>
      </c>
      <c r="E15" s="3">
        <f>MEDIAN(C15)</f>
        <v>0.93500000000000005</v>
      </c>
      <c r="J15">
        <v>0.77600000000000002</v>
      </c>
      <c r="K15">
        <v>0.91700000000000004</v>
      </c>
      <c r="L15" s="3">
        <f>MEDIAN(J15)</f>
        <v>0.77600000000000002</v>
      </c>
      <c r="M15" s="3">
        <f>MEDIAN(K15)</f>
        <v>0.91700000000000004</v>
      </c>
    </row>
    <row r="16" spans="1:702" x14ac:dyDescent="0.25">
      <c r="A16" s="2" t="s">
        <v>19</v>
      </c>
      <c r="B16">
        <v>0.86299999999999999</v>
      </c>
      <c r="C16">
        <v>0.91600000000000004</v>
      </c>
      <c r="D16" s="3">
        <f>MEDIAN(B16:B17)</f>
        <v>0.86299999999999999</v>
      </c>
      <c r="E16" s="3">
        <f>MEDIAN(C16:C17)</f>
        <v>0.85000000000000009</v>
      </c>
      <c r="J16">
        <v>0.73</v>
      </c>
      <c r="K16">
        <v>0.82199999999999995</v>
      </c>
      <c r="L16" s="3">
        <f>MEDIAN(J16:J17)</f>
        <v>0.73</v>
      </c>
      <c r="M16" s="3">
        <f>MEDIAN(K16:K17)</f>
        <v>0.64449999999999996</v>
      </c>
    </row>
    <row r="17" spans="1:13" x14ac:dyDescent="0.25">
      <c r="A17" s="2" t="s">
        <v>20</v>
      </c>
      <c r="C17">
        <v>0.78400000000000003</v>
      </c>
      <c r="E17" s="3"/>
      <c r="K17">
        <v>0.46700000000000003</v>
      </c>
      <c r="L17" s="3"/>
      <c r="M17" s="3"/>
    </row>
    <row r="18" spans="1:13" x14ac:dyDescent="0.25">
      <c r="A18" s="2" t="s">
        <v>21</v>
      </c>
      <c r="B18">
        <v>0.89800000000000002</v>
      </c>
      <c r="C18">
        <v>0.95199999999999996</v>
      </c>
      <c r="D18" s="3">
        <f>MEDIAN(B18)</f>
        <v>0.89800000000000002</v>
      </c>
      <c r="E18" s="3">
        <f>MEDIAN(C18)</f>
        <v>0.95199999999999996</v>
      </c>
      <c r="J18">
        <v>0.879</v>
      </c>
      <c r="K18">
        <v>0.92400000000000004</v>
      </c>
      <c r="L18" s="3">
        <f>MEDIAN(J18)</f>
        <v>0.879</v>
      </c>
      <c r="M18" s="3">
        <f>MEDIAN(K18)</f>
        <v>0.92400000000000004</v>
      </c>
    </row>
    <row r="19" spans="1:13" x14ac:dyDescent="0.25">
      <c r="A19" s="2" t="s">
        <v>22</v>
      </c>
      <c r="B19">
        <v>0.78500000000000003</v>
      </c>
      <c r="C19">
        <v>0.81100000000000005</v>
      </c>
      <c r="D19" s="3">
        <f>MEDIAN(B19:B25)</f>
        <v>0.76849999999999996</v>
      </c>
      <c r="E19" s="3">
        <f>MEDIAN(C19:C25)</f>
        <v>0.81100000000000005</v>
      </c>
      <c r="J19">
        <v>0.52</v>
      </c>
      <c r="K19">
        <v>0.65400000000000003</v>
      </c>
      <c r="L19" s="3">
        <f>MEDIAN(J19:J25)</f>
        <v>0.43000000000000005</v>
      </c>
      <c r="M19" s="3">
        <f>MEDIAN(K19:K25)</f>
        <v>0.61799999999999999</v>
      </c>
    </row>
    <row r="20" spans="1:13" x14ac:dyDescent="0.25">
      <c r="A20" s="2" t="s">
        <v>23</v>
      </c>
      <c r="B20">
        <v>0.752</v>
      </c>
      <c r="C20">
        <v>0.81100000000000005</v>
      </c>
      <c r="E20" s="3"/>
      <c r="J20">
        <v>0.40100000000000002</v>
      </c>
      <c r="K20">
        <v>0.56699999999999995</v>
      </c>
      <c r="L20" s="3"/>
      <c r="M20" s="3"/>
    </row>
    <row r="21" spans="1:13" x14ac:dyDescent="0.25">
      <c r="A21" s="2" t="s">
        <v>24</v>
      </c>
      <c r="B21">
        <v>0.84399999999999997</v>
      </c>
      <c r="C21">
        <v>0.89400000000000002</v>
      </c>
      <c r="E21" s="3"/>
      <c r="J21">
        <v>0.61599999999999999</v>
      </c>
      <c r="K21">
        <v>0.73099999999999998</v>
      </c>
      <c r="L21" s="3"/>
      <c r="M21" s="3"/>
    </row>
    <row r="22" spans="1:13" x14ac:dyDescent="0.25">
      <c r="A22" s="2" t="s">
        <v>25</v>
      </c>
      <c r="B22">
        <v>0.82199999999999995</v>
      </c>
      <c r="C22">
        <v>0.85599999999999998</v>
      </c>
      <c r="E22" s="3"/>
      <c r="J22">
        <v>0.45900000000000002</v>
      </c>
      <c r="K22">
        <v>0.61799999999999999</v>
      </c>
      <c r="L22" s="3"/>
      <c r="M22" s="3"/>
    </row>
    <row r="23" spans="1:13" x14ac:dyDescent="0.25">
      <c r="A23" s="2" t="s">
        <v>26</v>
      </c>
      <c r="C23">
        <v>0.95199999999999996</v>
      </c>
      <c r="E23" s="3"/>
      <c r="K23">
        <v>0.92400000000000004</v>
      </c>
      <c r="L23" s="3"/>
      <c r="M23" s="3"/>
    </row>
    <row r="24" spans="1:13" x14ac:dyDescent="0.25">
      <c r="A24" s="2" t="s">
        <v>27</v>
      </c>
      <c r="B24">
        <v>0.70699999999999996</v>
      </c>
      <c r="C24">
        <v>0.76300000000000001</v>
      </c>
      <c r="E24" s="3"/>
      <c r="J24">
        <v>0.23300000000000001</v>
      </c>
      <c r="K24">
        <v>0.438</v>
      </c>
      <c r="L24" s="3"/>
      <c r="M24" s="3"/>
    </row>
    <row r="25" spans="1:13" x14ac:dyDescent="0.25">
      <c r="A25" s="2" t="s">
        <v>28</v>
      </c>
      <c r="B25">
        <v>0.70899999999999996</v>
      </c>
      <c r="C25">
        <v>0.76700000000000002</v>
      </c>
      <c r="E25" s="3"/>
      <c r="J25">
        <v>0.3</v>
      </c>
      <c r="K25">
        <v>0.46700000000000003</v>
      </c>
      <c r="L25" s="3"/>
      <c r="M25" s="3"/>
    </row>
    <row r="26" spans="1:13" x14ac:dyDescent="0.25">
      <c r="A26" s="2" t="s">
        <v>29</v>
      </c>
      <c r="B26">
        <v>0.78300000000000003</v>
      </c>
      <c r="C26">
        <v>0.84499999999999997</v>
      </c>
      <c r="D26" s="3">
        <f>MEDIAN(B26:B28)</f>
        <v>0.78300000000000003</v>
      </c>
      <c r="E26" s="3">
        <f>MEDIAN(C26:C28)</f>
        <v>0.84499999999999997</v>
      </c>
      <c r="J26">
        <v>0.44800000000000001</v>
      </c>
      <c r="K26">
        <v>0.59499999999999997</v>
      </c>
      <c r="L26" s="3">
        <f>MEDIAN(J26:J28)</f>
        <v>0.44800000000000001</v>
      </c>
      <c r="M26" s="3">
        <f>MEDIAN(K26:K28)</f>
        <v>0.59499999999999997</v>
      </c>
    </row>
    <row r="27" spans="1:13" x14ac:dyDescent="0.25">
      <c r="A27" s="2" t="s">
        <v>30</v>
      </c>
      <c r="B27">
        <v>0.72699999999999998</v>
      </c>
      <c r="C27">
        <v>0.78600000000000003</v>
      </c>
      <c r="E27" s="3"/>
      <c r="J27">
        <v>0.34899999999999998</v>
      </c>
      <c r="K27">
        <v>0.52500000000000002</v>
      </c>
      <c r="L27" s="3"/>
      <c r="M27" s="3"/>
    </row>
    <row r="28" spans="1:13" x14ac:dyDescent="0.25">
      <c r="A28" s="2" t="s">
        <v>31</v>
      </c>
      <c r="B28">
        <v>0.82</v>
      </c>
      <c r="C28">
        <v>0.86499999999999999</v>
      </c>
      <c r="E28" s="3"/>
      <c r="J28">
        <v>0.51300000000000001</v>
      </c>
      <c r="K28">
        <v>0.67200000000000004</v>
      </c>
      <c r="L28" s="3"/>
      <c r="M28" s="3"/>
    </row>
    <row r="29" spans="1:13" x14ac:dyDescent="0.25">
      <c r="A29" s="2" t="s">
        <v>32</v>
      </c>
      <c r="B29">
        <v>0.88800000000000001</v>
      </c>
      <c r="C29">
        <v>0.94399999999999995</v>
      </c>
      <c r="D29" s="3">
        <f>MEDIAN(B29:B30)</f>
        <v>0.87250000000000005</v>
      </c>
      <c r="E29" s="3">
        <f>MEDIAN(C29:C30)</f>
        <v>0.92999999999999994</v>
      </c>
      <c r="J29">
        <v>0.87</v>
      </c>
      <c r="K29">
        <v>0.93200000000000005</v>
      </c>
      <c r="L29" s="3">
        <f>MEDIAN(J29:J30)</f>
        <v>0.82450000000000001</v>
      </c>
      <c r="M29" s="3">
        <f>MEDIAN(K29:K30)</f>
        <v>0.88349999999999995</v>
      </c>
    </row>
    <row r="30" spans="1:13" x14ac:dyDescent="0.25">
      <c r="A30" s="2" t="s">
        <v>33</v>
      </c>
      <c r="B30">
        <v>0.85699999999999998</v>
      </c>
      <c r="C30">
        <v>0.91600000000000004</v>
      </c>
      <c r="E30" s="3"/>
      <c r="J30">
        <v>0.77900000000000003</v>
      </c>
      <c r="K30">
        <v>0.83499999999999996</v>
      </c>
      <c r="L30" s="3"/>
      <c r="M30" s="3"/>
    </row>
    <row r="31" spans="1:13" x14ac:dyDescent="0.25">
      <c r="A31" s="2" t="s">
        <v>34</v>
      </c>
      <c r="B31">
        <v>0.88100000000000001</v>
      </c>
      <c r="C31">
        <v>0.93200000000000005</v>
      </c>
      <c r="D31" s="3">
        <f>MEDIAN(B31)</f>
        <v>0.88100000000000001</v>
      </c>
      <c r="E31" s="3">
        <f>MEDIAN(C31)</f>
        <v>0.93200000000000005</v>
      </c>
      <c r="J31">
        <v>0.879</v>
      </c>
      <c r="K31">
        <v>0.90800000000000003</v>
      </c>
      <c r="L31" s="3">
        <f>MEDIAN(J31)</f>
        <v>0.879</v>
      </c>
      <c r="M31" s="3">
        <f>MEDIAN(K31)</f>
        <v>0.90800000000000003</v>
      </c>
    </row>
    <row r="32" spans="1:13" x14ac:dyDescent="0.25">
      <c r="A32" s="2" t="s">
        <v>35</v>
      </c>
      <c r="B32">
        <v>0.86699999999999999</v>
      </c>
      <c r="C32">
        <v>0.91600000000000004</v>
      </c>
      <c r="D32" s="3">
        <f>MEDIAN(B32:B38)</f>
        <v>0.83699999999999997</v>
      </c>
      <c r="E32" s="3">
        <f>MEDIAN(C32:C38)</f>
        <v>0.89500000000000002</v>
      </c>
      <c r="J32">
        <v>0.77200000000000002</v>
      </c>
      <c r="K32">
        <v>0.82199999999999995</v>
      </c>
      <c r="L32" s="3">
        <f>MEDIAN(J32:J38)</f>
        <v>0.56699999999999995</v>
      </c>
      <c r="M32" s="3">
        <f>MEDIAN(K32:K38)</f>
        <v>0.75</v>
      </c>
    </row>
    <row r="33" spans="1:13" x14ac:dyDescent="0.25">
      <c r="A33" s="2" t="s">
        <v>36</v>
      </c>
      <c r="B33">
        <v>0.82</v>
      </c>
      <c r="C33">
        <v>0.86499999999999999</v>
      </c>
      <c r="E33" s="3"/>
      <c r="J33">
        <v>0.51300000000000001</v>
      </c>
      <c r="K33">
        <v>0.67200000000000004</v>
      </c>
      <c r="L33" s="3"/>
      <c r="M33" s="3"/>
    </row>
    <row r="34" spans="1:13" x14ac:dyDescent="0.25">
      <c r="A34" s="2" t="s">
        <v>37</v>
      </c>
      <c r="B34">
        <v>0.80500000000000005</v>
      </c>
      <c r="C34">
        <v>0.85199999999999998</v>
      </c>
      <c r="E34" s="3"/>
      <c r="J34">
        <v>0.46200000000000002</v>
      </c>
      <c r="K34">
        <v>0.629</v>
      </c>
      <c r="L34" s="3"/>
      <c r="M34" s="3"/>
    </row>
    <row r="35" spans="1:13" x14ac:dyDescent="0.25">
      <c r="A35" s="2" t="s">
        <v>38</v>
      </c>
      <c r="B35">
        <v>0.84899999999999998</v>
      </c>
      <c r="C35">
        <v>0.91300000000000003</v>
      </c>
      <c r="E35" s="3"/>
      <c r="J35">
        <v>0.76400000000000001</v>
      </c>
      <c r="K35">
        <v>0.78700000000000003</v>
      </c>
      <c r="L35" s="3"/>
      <c r="M35" s="3"/>
    </row>
    <row r="36" spans="1:13" x14ac:dyDescent="0.25">
      <c r="A36" s="2" t="s">
        <v>39</v>
      </c>
      <c r="B36">
        <v>0.83699999999999997</v>
      </c>
      <c r="C36">
        <v>0.89500000000000002</v>
      </c>
      <c r="E36" s="3"/>
      <c r="J36">
        <v>0.56699999999999995</v>
      </c>
      <c r="K36">
        <v>0.75</v>
      </c>
      <c r="L36" s="3"/>
      <c r="M36" s="3"/>
    </row>
    <row r="37" spans="1:13" x14ac:dyDescent="0.25">
      <c r="A37" s="2" t="s">
        <v>40</v>
      </c>
      <c r="B37">
        <v>0.85699999999999998</v>
      </c>
      <c r="C37">
        <v>0.91600000000000004</v>
      </c>
      <c r="E37" s="3"/>
      <c r="J37">
        <v>0.77900000000000003</v>
      </c>
      <c r="K37">
        <v>0.83499999999999996</v>
      </c>
      <c r="L37" s="3"/>
      <c r="M37" s="3"/>
    </row>
    <row r="38" spans="1:13" x14ac:dyDescent="0.25">
      <c r="A38" s="2" t="s">
        <v>41</v>
      </c>
      <c r="B38">
        <v>0.70599999999999996</v>
      </c>
      <c r="C38">
        <v>0.76700000000000002</v>
      </c>
      <c r="E38" s="3"/>
      <c r="J38">
        <v>0.27300000000000002</v>
      </c>
      <c r="K38">
        <v>0.46700000000000003</v>
      </c>
      <c r="L38" s="3"/>
      <c r="M38" s="3"/>
    </row>
    <row r="39" spans="1:13" x14ac:dyDescent="0.25">
      <c r="A39" s="2" t="s">
        <v>42</v>
      </c>
      <c r="B39">
        <v>0.80500000000000005</v>
      </c>
      <c r="C39">
        <v>0.85199999999999998</v>
      </c>
      <c r="D39" s="3">
        <f>MEDIAN(B39:B43)</f>
        <v>0.82</v>
      </c>
      <c r="E39" s="3">
        <f>MEDIAN(C39:C43)</f>
        <v>0.86499999999999999</v>
      </c>
      <c r="J39">
        <v>0.46200000000000002</v>
      </c>
      <c r="K39">
        <v>0.629</v>
      </c>
      <c r="L39" s="3">
        <f>MEDIAN(J39:J43)</f>
        <v>0.51300000000000001</v>
      </c>
      <c r="M39" s="3">
        <f>MEDIAN(K39:K43)</f>
        <v>0.67200000000000004</v>
      </c>
    </row>
    <row r="40" spans="1:13" x14ac:dyDescent="0.25">
      <c r="A40" s="2" t="s">
        <v>43</v>
      </c>
      <c r="B40">
        <v>0.82</v>
      </c>
      <c r="C40">
        <v>0.88100000000000001</v>
      </c>
      <c r="E40" s="3"/>
      <c r="J40">
        <v>0.51300000000000001</v>
      </c>
      <c r="K40">
        <v>0.69499999999999995</v>
      </c>
      <c r="L40" s="3"/>
      <c r="M40" s="3"/>
    </row>
    <row r="41" spans="1:13" x14ac:dyDescent="0.25">
      <c r="A41" s="2" t="s">
        <v>44</v>
      </c>
      <c r="B41">
        <v>0.82</v>
      </c>
      <c r="C41">
        <v>0.86499999999999999</v>
      </c>
      <c r="E41" s="3"/>
      <c r="J41">
        <v>0.51300000000000001</v>
      </c>
      <c r="K41">
        <v>0.67200000000000004</v>
      </c>
      <c r="L41" s="3"/>
      <c r="M41" s="3"/>
    </row>
    <row r="42" spans="1:13" x14ac:dyDescent="0.25">
      <c r="A42" s="2" t="s">
        <v>45</v>
      </c>
      <c r="B42">
        <v>0.84899999999999998</v>
      </c>
      <c r="C42">
        <v>0.91300000000000003</v>
      </c>
      <c r="E42" s="3"/>
      <c r="J42">
        <v>0.76400000000000001</v>
      </c>
      <c r="K42">
        <v>0.78700000000000003</v>
      </c>
      <c r="L42" s="3"/>
      <c r="M42" s="3"/>
    </row>
    <row r="43" spans="1:13" x14ac:dyDescent="0.25">
      <c r="A43" s="2" t="s">
        <v>46</v>
      </c>
      <c r="B43">
        <v>0.71499999999999997</v>
      </c>
      <c r="C43">
        <v>0.77300000000000002</v>
      </c>
      <c r="E43" s="3"/>
      <c r="J43">
        <v>0.29899999999999999</v>
      </c>
      <c r="K43">
        <v>0.52700000000000002</v>
      </c>
      <c r="L43" s="3"/>
      <c r="M43" s="3"/>
    </row>
    <row r="44" spans="1:13" x14ac:dyDescent="0.25">
      <c r="A44" s="2" t="s">
        <v>47</v>
      </c>
      <c r="B44">
        <v>0.82199999999999995</v>
      </c>
      <c r="C44">
        <v>0.85599999999999998</v>
      </c>
      <c r="D44" s="3">
        <f>MEDIAN(B44:B45)</f>
        <v>0.82199999999999995</v>
      </c>
      <c r="E44" s="3">
        <f>MEDIAN(C44:C45)</f>
        <v>0.82099999999999995</v>
      </c>
      <c r="J44">
        <v>0.45900000000000002</v>
      </c>
      <c r="K44">
        <v>0.61799999999999999</v>
      </c>
      <c r="L44" s="3">
        <f>MEDIAN(J44:J45)</f>
        <v>0.45900000000000002</v>
      </c>
      <c r="M44" s="3">
        <f>MEDIAN(K44:K45)</f>
        <v>0.57150000000000001</v>
      </c>
    </row>
    <row r="45" spans="1:13" x14ac:dyDescent="0.25">
      <c r="A45" s="2" t="s">
        <v>48</v>
      </c>
      <c r="C45">
        <v>0.78600000000000003</v>
      </c>
      <c r="E45" s="3"/>
      <c r="K45">
        <v>0.52500000000000002</v>
      </c>
      <c r="L45" s="3"/>
      <c r="M45" s="3"/>
    </row>
    <row r="46" spans="1:13" x14ac:dyDescent="0.25">
      <c r="A46" s="2" t="s">
        <v>49</v>
      </c>
      <c r="B46">
        <v>0.78500000000000003</v>
      </c>
      <c r="C46">
        <v>0.84499999999999997</v>
      </c>
      <c r="D46" s="3">
        <f>MEDIAN(B46:B52)</f>
        <v>0.752</v>
      </c>
      <c r="E46" s="3">
        <f>MEDIAN(C46:C52)</f>
        <v>0.81200000000000006</v>
      </c>
      <c r="J46">
        <v>0.52</v>
      </c>
      <c r="K46">
        <v>0.59499999999999997</v>
      </c>
      <c r="L46" s="3">
        <f>MEDIAN(J46:J52)</f>
        <v>0.41399999999999998</v>
      </c>
      <c r="M46" s="3">
        <f>MEDIAN(K46:K52)</f>
        <v>0.55700000000000005</v>
      </c>
    </row>
    <row r="47" spans="1:13" x14ac:dyDescent="0.25">
      <c r="A47" s="2" t="s">
        <v>50</v>
      </c>
      <c r="B47">
        <v>0.79300000000000004</v>
      </c>
      <c r="C47">
        <v>0.84499999999999997</v>
      </c>
      <c r="E47" s="3"/>
      <c r="J47">
        <v>0.46700000000000003</v>
      </c>
      <c r="K47">
        <v>0.59499999999999997</v>
      </c>
      <c r="L47" s="3"/>
      <c r="M47" s="3"/>
    </row>
    <row r="48" spans="1:13" x14ac:dyDescent="0.25">
      <c r="A48" s="2" t="s">
        <v>51</v>
      </c>
      <c r="B48">
        <v>0.752</v>
      </c>
      <c r="C48">
        <v>0.81200000000000006</v>
      </c>
      <c r="E48" s="3"/>
      <c r="J48">
        <v>0.40100000000000002</v>
      </c>
      <c r="K48">
        <v>0.55700000000000005</v>
      </c>
      <c r="L48" s="3"/>
      <c r="M48" s="3"/>
    </row>
    <row r="49" spans="1:13" x14ac:dyDescent="0.25">
      <c r="A49" s="2" t="s">
        <v>52</v>
      </c>
      <c r="B49">
        <v>0.84599999999999997</v>
      </c>
      <c r="C49">
        <v>0.91200000000000003</v>
      </c>
      <c r="E49" s="3"/>
      <c r="J49">
        <v>0.68799999999999994</v>
      </c>
      <c r="K49">
        <v>0.82499999999999996</v>
      </c>
      <c r="L49" s="3"/>
      <c r="M49" s="3"/>
    </row>
    <row r="50" spans="1:13" x14ac:dyDescent="0.25">
      <c r="A50" s="2" t="s">
        <v>53</v>
      </c>
      <c r="B50">
        <v>0.748</v>
      </c>
      <c r="C50">
        <v>0.78600000000000003</v>
      </c>
      <c r="E50" s="3"/>
      <c r="J50">
        <v>0.41399999999999998</v>
      </c>
      <c r="K50">
        <v>0.52500000000000002</v>
      </c>
      <c r="L50" s="3"/>
      <c r="M50" s="3"/>
    </row>
    <row r="51" spans="1:13" x14ac:dyDescent="0.25">
      <c r="A51" s="2" t="s">
        <v>54</v>
      </c>
      <c r="B51">
        <v>0.72699999999999998</v>
      </c>
      <c r="C51">
        <v>0.78600000000000003</v>
      </c>
      <c r="E51" s="3"/>
      <c r="J51">
        <v>0.34899999999999998</v>
      </c>
      <c r="K51">
        <v>0.52500000000000002</v>
      </c>
      <c r="L51" s="3"/>
      <c r="M51" s="3"/>
    </row>
    <row r="52" spans="1:13" x14ac:dyDescent="0.25">
      <c r="A52" s="2" t="s">
        <v>55</v>
      </c>
      <c r="B52">
        <v>0.71499999999999997</v>
      </c>
      <c r="C52">
        <v>0.76500000000000001</v>
      </c>
      <c r="E52" s="3"/>
      <c r="J52">
        <v>0.29899999999999999</v>
      </c>
      <c r="K52">
        <v>0.49199999999999999</v>
      </c>
      <c r="L52" s="3"/>
      <c r="M52" s="3"/>
    </row>
    <row r="53" spans="1:13" x14ac:dyDescent="0.25">
      <c r="A53" s="2" t="s">
        <v>56</v>
      </c>
      <c r="B53">
        <v>0.83699999999999997</v>
      </c>
      <c r="C53">
        <v>0.88100000000000001</v>
      </c>
      <c r="D53" s="3">
        <f>MEDIAN(B53:B58)</f>
        <v>0.81</v>
      </c>
      <c r="E53" s="3">
        <f>MEDIAN(C53:C58)</f>
        <v>0.86299999999999999</v>
      </c>
      <c r="J53">
        <v>0.57399999999999995</v>
      </c>
      <c r="K53">
        <v>0.69499999999999995</v>
      </c>
      <c r="L53" s="3">
        <f>MEDIAN(J53:J58)</f>
        <v>0.51100000000000001</v>
      </c>
      <c r="M53" s="3">
        <f>MEDIAN(K53:K58)</f>
        <v>0.64500000000000002</v>
      </c>
    </row>
    <row r="54" spans="1:13" x14ac:dyDescent="0.25">
      <c r="A54" s="2" t="s">
        <v>57</v>
      </c>
      <c r="B54">
        <v>0.84899999999999998</v>
      </c>
      <c r="C54">
        <v>0.90800000000000003</v>
      </c>
      <c r="E54" s="3"/>
      <c r="J54">
        <v>0.69799999999999995</v>
      </c>
      <c r="K54">
        <v>0.79400000000000004</v>
      </c>
      <c r="L54" s="3"/>
      <c r="M54" s="3"/>
    </row>
    <row r="55" spans="1:13" x14ac:dyDescent="0.25">
      <c r="A55" s="2" t="s">
        <v>58</v>
      </c>
      <c r="B55">
        <v>0.72399999999999998</v>
      </c>
      <c r="C55">
        <v>0.81100000000000005</v>
      </c>
      <c r="E55" s="3"/>
      <c r="J55">
        <v>0.30599999999999999</v>
      </c>
      <c r="K55">
        <v>0.56699999999999995</v>
      </c>
      <c r="L55" s="3"/>
      <c r="M55" s="3"/>
    </row>
    <row r="56" spans="1:13" x14ac:dyDescent="0.25">
      <c r="A56" s="2" t="s">
        <v>59</v>
      </c>
      <c r="B56">
        <v>0.84399999999999997</v>
      </c>
      <c r="C56">
        <v>0.89500000000000002</v>
      </c>
      <c r="E56" s="3"/>
      <c r="J56">
        <v>0.61599999999999999</v>
      </c>
      <c r="K56">
        <v>0.75</v>
      </c>
      <c r="L56" s="3"/>
      <c r="M56" s="3"/>
    </row>
    <row r="57" spans="1:13" x14ac:dyDescent="0.25">
      <c r="A57" s="2" t="s">
        <v>60</v>
      </c>
      <c r="B57">
        <v>0.72699999999999998</v>
      </c>
      <c r="C57">
        <v>0.78600000000000003</v>
      </c>
      <c r="E57" s="3"/>
      <c r="J57">
        <v>0.34899999999999998</v>
      </c>
      <c r="K57">
        <v>0.52500000000000002</v>
      </c>
      <c r="L57" s="3"/>
      <c r="M57" s="3"/>
    </row>
    <row r="58" spans="1:13" x14ac:dyDescent="0.25">
      <c r="A58" s="2" t="s">
        <v>61</v>
      </c>
      <c r="B58">
        <v>0.78300000000000003</v>
      </c>
      <c r="C58">
        <v>0.84499999999999997</v>
      </c>
      <c r="E58" s="3"/>
      <c r="J58">
        <v>0.44800000000000001</v>
      </c>
      <c r="K58">
        <v>0.59499999999999997</v>
      </c>
      <c r="L58" s="3"/>
      <c r="M58" s="3"/>
    </row>
    <row r="59" spans="1:13" x14ac:dyDescent="0.25">
      <c r="A59" s="2" t="s">
        <v>62</v>
      </c>
      <c r="B59">
        <v>0.73399999999999999</v>
      </c>
      <c r="C59">
        <v>0.77300000000000002</v>
      </c>
      <c r="D59" s="3">
        <f>MEDIAN(B59:B62)</f>
        <v>0.8294999999999999</v>
      </c>
      <c r="E59" s="3">
        <f>MEDIAN(C59:C62)</f>
        <v>0.86949999999999994</v>
      </c>
      <c r="J59">
        <v>0.35499999999999998</v>
      </c>
      <c r="K59">
        <v>0.52700000000000002</v>
      </c>
      <c r="L59" s="3">
        <f>MEDIAN(J59:J62)</f>
        <v>0.51300000000000001</v>
      </c>
      <c r="M59" s="3">
        <f>MEDIAN(K59:K62)</f>
        <v>0.70100000000000007</v>
      </c>
    </row>
    <row r="60" spans="1:13" x14ac:dyDescent="0.25">
      <c r="A60" s="2" t="s">
        <v>63</v>
      </c>
      <c r="B60">
        <v>0.83699999999999997</v>
      </c>
      <c r="C60">
        <v>0.88700000000000001</v>
      </c>
      <c r="E60" s="3"/>
      <c r="J60">
        <v>0.56699999999999995</v>
      </c>
      <c r="K60">
        <v>0.77300000000000002</v>
      </c>
      <c r="L60" s="3"/>
      <c r="M60" s="3"/>
    </row>
    <row r="61" spans="1:13" x14ac:dyDescent="0.25">
      <c r="A61" s="2" t="s">
        <v>64</v>
      </c>
      <c r="B61">
        <v>0.84799999999999998</v>
      </c>
      <c r="C61">
        <v>0.91</v>
      </c>
      <c r="E61" s="3"/>
      <c r="J61">
        <v>0.68100000000000005</v>
      </c>
      <c r="K61">
        <v>0.79</v>
      </c>
      <c r="L61" s="3"/>
      <c r="M61" s="3"/>
    </row>
    <row r="62" spans="1:13" x14ac:dyDescent="0.25">
      <c r="A62" s="2" t="s">
        <v>65</v>
      </c>
      <c r="B62">
        <v>0.82199999999999995</v>
      </c>
      <c r="C62">
        <v>0.85199999999999998</v>
      </c>
      <c r="E62" s="3"/>
      <c r="J62">
        <v>0.45900000000000002</v>
      </c>
      <c r="K62">
        <v>0.629</v>
      </c>
      <c r="L62" s="3"/>
      <c r="M62" s="3"/>
    </row>
    <row r="63" spans="1:13" x14ac:dyDescent="0.25">
      <c r="A63" s="2" t="s">
        <v>66</v>
      </c>
      <c r="B63">
        <v>0.879</v>
      </c>
      <c r="C63">
        <v>0.92100000000000004</v>
      </c>
      <c r="D63" s="3">
        <f>MEDIAN(B63)</f>
        <v>0.879</v>
      </c>
      <c r="E63" s="3">
        <f>MEDIAN(C63)</f>
        <v>0.92100000000000004</v>
      </c>
      <c r="J63">
        <v>0.85</v>
      </c>
      <c r="K63">
        <v>0.89100000000000001</v>
      </c>
      <c r="L63" s="3">
        <f>MEDIAN(J63)</f>
        <v>0.85</v>
      </c>
      <c r="M63" s="3">
        <f>MEDIAN(K63)</f>
        <v>0.89100000000000001</v>
      </c>
    </row>
    <row r="64" spans="1:13" x14ac:dyDescent="0.25">
      <c r="A64" s="2" t="s">
        <v>67</v>
      </c>
      <c r="B64">
        <v>0.88800000000000001</v>
      </c>
      <c r="C64">
        <v>0.94399999999999995</v>
      </c>
      <c r="D64" s="3">
        <f>MEDIAN(B64)</f>
        <v>0.88800000000000001</v>
      </c>
      <c r="E64" s="3">
        <f>MEDIAN(C64)</f>
        <v>0.94399999999999995</v>
      </c>
      <c r="J64">
        <v>0.87</v>
      </c>
      <c r="K64">
        <v>0.93200000000000005</v>
      </c>
      <c r="L64" s="3">
        <f>MEDIAN(J64)</f>
        <v>0.87</v>
      </c>
      <c r="M64" s="3">
        <f>MEDIAN(K64)</f>
        <v>0.93200000000000005</v>
      </c>
    </row>
    <row r="65" spans="1:13" x14ac:dyDescent="0.25">
      <c r="A65" s="2" t="s">
        <v>68</v>
      </c>
      <c r="B65">
        <v>0.70699999999999996</v>
      </c>
      <c r="C65">
        <v>0.77400000000000002</v>
      </c>
      <c r="D65" s="3">
        <f>MEDIAN(B65:B66)</f>
        <v>0.71649999999999991</v>
      </c>
      <c r="E65" s="3">
        <f>MEDIAN(C65:C66)</f>
        <v>0.77350000000000008</v>
      </c>
      <c r="J65">
        <v>0.23300000000000001</v>
      </c>
      <c r="K65">
        <v>0.51800000000000002</v>
      </c>
      <c r="L65" s="3">
        <f>MEDIAN(J65:J66)</f>
        <v>0.28899999999999998</v>
      </c>
      <c r="M65" s="3">
        <f>MEDIAN(K65:K66)</f>
        <v>0.52249999999999996</v>
      </c>
    </row>
    <row r="66" spans="1:13" x14ac:dyDescent="0.25">
      <c r="A66" s="2" t="s">
        <v>69</v>
      </c>
      <c r="B66">
        <v>0.72599999999999998</v>
      </c>
      <c r="C66">
        <v>0.77300000000000002</v>
      </c>
      <c r="E66" s="3"/>
      <c r="J66">
        <v>0.34499999999999997</v>
      </c>
      <c r="K66">
        <v>0.52700000000000002</v>
      </c>
      <c r="L66" s="3"/>
      <c r="M66" s="3"/>
    </row>
    <row r="67" spans="1:13" x14ac:dyDescent="0.25">
      <c r="A67" s="2" t="s">
        <v>70</v>
      </c>
      <c r="B67">
        <v>0.877</v>
      </c>
      <c r="C67">
        <v>0.91900000000000004</v>
      </c>
      <c r="D67" s="3">
        <f>MEDIAN(B67)</f>
        <v>0.877</v>
      </c>
      <c r="E67" s="3">
        <f>MEDIAN(C67)</f>
        <v>0.91900000000000004</v>
      </c>
      <c r="J67">
        <v>0.84299999999999997</v>
      </c>
      <c r="K67">
        <v>0.94699999999999995</v>
      </c>
      <c r="L67" s="3">
        <f>MEDIAN(J67)</f>
        <v>0.84299999999999997</v>
      </c>
      <c r="M67" s="3">
        <f>MEDIAN(K67)</f>
        <v>0.94699999999999995</v>
      </c>
    </row>
    <row r="68" spans="1:13" x14ac:dyDescent="0.25">
      <c r="A68" s="2" t="s">
        <v>71</v>
      </c>
      <c r="B68">
        <v>0.84399999999999997</v>
      </c>
      <c r="C68">
        <v>0.89400000000000002</v>
      </c>
      <c r="D68" s="3">
        <f>MEDIAN(B68:B78)</f>
        <v>0.80300000000000005</v>
      </c>
      <c r="E68" s="3">
        <f>MEDIAN(C68:C78)</f>
        <v>0.84499999999999997</v>
      </c>
      <c r="J68">
        <v>0.61599999999999999</v>
      </c>
      <c r="K68">
        <v>0.73099999999999998</v>
      </c>
      <c r="L68" s="3">
        <f>MEDIAN(J68:J78)</f>
        <v>0.497</v>
      </c>
      <c r="M68" s="3">
        <f>MEDIAN(K68:K78)</f>
        <v>0.63800000000000001</v>
      </c>
    </row>
    <row r="69" spans="1:13" x14ac:dyDescent="0.25">
      <c r="A69" s="2" t="s">
        <v>72</v>
      </c>
      <c r="B69">
        <v>0.876</v>
      </c>
      <c r="C69">
        <v>0.92600000000000005</v>
      </c>
      <c r="E69" s="3"/>
      <c r="J69">
        <v>0.81499999999999995</v>
      </c>
      <c r="K69">
        <v>0.84599999999999997</v>
      </c>
      <c r="L69" s="3"/>
      <c r="M69" s="3"/>
    </row>
    <row r="70" spans="1:13" x14ac:dyDescent="0.25">
      <c r="A70" s="2" t="s">
        <v>73</v>
      </c>
      <c r="B70">
        <v>0.878</v>
      </c>
      <c r="C70">
        <v>0.92900000000000005</v>
      </c>
      <c r="E70" s="3"/>
      <c r="J70">
        <v>0.80300000000000005</v>
      </c>
      <c r="K70">
        <v>0.878</v>
      </c>
      <c r="L70" s="3"/>
      <c r="M70" s="3"/>
    </row>
    <row r="71" spans="1:13" x14ac:dyDescent="0.25">
      <c r="A71" s="2" t="s">
        <v>74</v>
      </c>
      <c r="B71">
        <v>0.85099999999999998</v>
      </c>
      <c r="C71">
        <v>0.91200000000000003</v>
      </c>
      <c r="E71" s="3"/>
      <c r="J71">
        <v>0.73699999999999999</v>
      </c>
      <c r="K71">
        <v>0.82499999999999996</v>
      </c>
      <c r="L71" s="3"/>
      <c r="M71" s="3"/>
    </row>
    <row r="72" spans="1:13" x14ac:dyDescent="0.25">
      <c r="A72" s="2" t="s">
        <v>75</v>
      </c>
      <c r="B72">
        <v>0.72599999999999998</v>
      </c>
      <c r="C72">
        <v>0.77400000000000002</v>
      </c>
      <c r="E72" s="3"/>
      <c r="J72">
        <v>0.34499999999999997</v>
      </c>
      <c r="K72">
        <v>0.51800000000000002</v>
      </c>
      <c r="L72" s="3"/>
      <c r="M72" s="3"/>
    </row>
    <row r="73" spans="1:13" x14ac:dyDescent="0.25">
      <c r="A73" s="2" t="s">
        <v>76</v>
      </c>
      <c r="B73">
        <v>0.86699999999999999</v>
      </c>
      <c r="C73">
        <v>0.91600000000000004</v>
      </c>
      <c r="E73" s="3"/>
      <c r="J73">
        <v>0.77200000000000002</v>
      </c>
      <c r="K73">
        <v>0.82199999999999995</v>
      </c>
      <c r="L73" s="3"/>
      <c r="M73" s="3"/>
    </row>
    <row r="74" spans="1:13" x14ac:dyDescent="0.25">
      <c r="A74" s="2" t="s">
        <v>77</v>
      </c>
      <c r="B74">
        <v>0.80100000000000005</v>
      </c>
      <c r="C74">
        <v>0.84499999999999997</v>
      </c>
      <c r="E74" s="3"/>
      <c r="J74">
        <v>0.497</v>
      </c>
      <c r="K74">
        <v>0.59499999999999997</v>
      </c>
      <c r="L74" s="3"/>
      <c r="M74" s="3"/>
    </row>
    <row r="75" spans="1:13" x14ac:dyDescent="0.25">
      <c r="A75" s="2" t="s">
        <v>78</v>
      </c>
      <c r="B75">
        <v>0.78600000000000003</v>
      </c>
      <c r="C75">
        <v>0.82499999999999996</v>
      </c>
      <c r="E75" s="3"/>
      <c r="J75">
        <v>0.439</v>
      </c>
      <c r="K75">
        <v>0.63800000000000001</v>
      </c>
      <c r="L75" s="3"/>
      <c r="M75" s="3"/>
    </row>
    <row r="76" spans="1:13" x14ac:dyDescent="0.25">
      <c r="A76" s="2" t="s">
        <v>79</v>
      </c>
      <c r="B76">
        <v>0.70899999999999996</v>
      </c>
      <c r="C76">
        <v>0.76500000000000001</v>
      </c>
      <c r="E76" s="3"/>
      <c r="J76">
        <v>0.3</v>
      </c>
      <c r="K76">
        <v>0.49199999999999999</v>
      </c>
      <c r="L76" s="3"/>
      <c r="M76" s="3"/>
    </row>
    <row r="77" spans="1:13" x14ac:dyDescent="0.25">
      <c r="A77" s="2" t="s">
        <v>80</v>
      </c>
      <c r="B77">
        <v>0.71499999999999997</v>
      </c>
      <c r="C77">
        <v>0.78400000000000003</v>
      </c>
      <c r="E77" s="3"/>
      <c r="J77">
        <v>0.29899999999999999</v>
      </c>
      <c r="K77">
        <v>0.46700000000000003</v>
      </c>
      <c r="L77" s="3"/>
      <c r="M77" s="3"/>
    </row>
    <row r="78" spans="1:13" x14ac:dyDescent="0.25">
      <c r="A78" s="2" t="s">
        <v>81</v>
      </c>
      <c r="B78">
        <v>0.80300000000000005</v>
      </c>
      <c r="C78">
        <v>0.84499999999999997</v>
      </c>
      <c r="E78" s="3"/>
      <c r="J78">
        <v>0.47799999999999998</v>
      </c>
      <c r="K78">
        <v>0.59499999999999997</v>
      </c>
      <c r="L78" s="3"/>
      <c r="M78" s="3"/>
    </row>
    <row r="79" spans="1:13" x14ac:dyDescent="0.25">
      <c r="A79" s="2" t="s">
        <v>82</v>
      </c>
      <c r="B79">
        <v>0.86699999999999999</v>
      </c>
      <c r="C79">
        <v>0.91700000000000004</v>
      </c>
      <c r="D79" s="3">
        <f>MEDIAN(B79)</f>
        <v>0.86699999999999999</v>
      </c>
      <c r="E79" s="3">
        <f>MEDIAN(C79)</f>
        <v>0.91700000000000004</v>
      </c>
      <c r="J79">
        <v>0.82499999999999996</v>
      </c>
      <c r="K79">
        <v>0.79100000000000004</v>
      </c>
      <c r="L79" s="3">
        <f>MEDIAN(J79)</f>
        <v>0.82499999999999996</v>
      </c>
      <c r="M79" s="3">
        <f>MEDIAN(K79)</f>
        <v>0.79100000000000004</v>
      </c>
    </row>
    <row r="80" spans="1:13" x14ac:dyDescent="0.25">
      <c r="A80" s="2" t="s">
        <v>83</v>
      </c>
      <c r="B80">
        <v>0.878</v>
      </c>
      <c r="C80">
        <v>0.93200000000000005</v>
      </c>
      <c r="D80" s="3">
        <f>MEDIAN(B80:B83)</f>
        <v>0.86499999999999999</v>
      </c>
      <c r="E80" s="3">
        <f>MEDIAN(C80:C83)</f>
        <v>0.91800000000000004</v>
      </c>
      <c r="J80">
        <v>0.80200000000000005</v>
      </c>
      <c r="K80">
        <v>0.90800000000000003</v>
      </c>
      <c r="L80" s="3">
        <f>MEDIAN(J80:J83)</f>
        <v>0.76600000000000001</v>
      </c>
      <c r="M80" s="3">
        <f>MEDIAN(K80:K83)</f>
        <v>0.83</v>
      </c>
    </row>
    <row r="81" spans="1:13" x14ac:dyDescent="0.25">
      <c r="A81" s="2" t="s">
        <v>84</v>
      </c>
      <c r="B81">
        <v>0.86299999999999999</v>
      </c>
      <c r="C81">
        <v>0.91800000000000004</v>
      </c>
      <c r="E81" s="3"/>
      <c r="J81">
        <v>0.73</v>
      </c>
      <c r="K81">
        <v>0.83</v>
      </c>
      <c r="L81" s="3"/>
      <c r="M81" s="3"/>
    </row>
    <row r="82" spans="1:13" x14ac:dyDescent="0.25">
      <c r="A82" s="2" t="s">
        <v>85</v>
      </c>
      <c r="B82">
        <v>0.84299999999999997</v>
      </c>
      <c r="C82">
        <v>0.88700000000000001</v>
      </c>
      <c r="E82" s="3"/>
      <c r="J82">
        <v>0.60299999999999998</v>
      </c>
      <c r="K82">
        <v>0.77300000000000002</v>
      </c>
      <c r="L82" s="3"/>
      <c r="M82" s="3"/>
    </row>
    <row r="83" spans="1:13" x14ac:dyDescent="0.25">
      <c r="A83" s="2" t="s">
        <v>86</v>
      </c>
      <c r="B83">
        <v>0.86699999999999999</v>
      </c>
      <c r="C83">
        <v>0.91800000000000004</v>
      </c>
      <c r="E83" s="3"/>
      <c r="J83">
        <v>0.82499999999999996</v>
      </c>
      <c r="K83">
        <v>0.83</v>
      </c>
      <c r="L83" s="3"/>
      <c r="M83" s="3"/>
    </row>
    <row r="84" spans="1:13" x14ac:dyDescent="0.25">
      <c r="A84" s="2" t="s">
        <v>87</v>
      </c>
      <c r="B84">
        <v>0.84899999999999998</v>
      </c>
      <c r="C84">
        <v>0.91</v>
      </c>
      <c r="D84" s="3">
        <f>MEDIAN(B84:B86)</f>
        <v>0.80300000000000005</v>
      </c>
      <c r="E84" s="3">
        <f>MEDIAN(C84:C86)</f>
        <v>0.85199999999999998</v>
      </c>
      <c r="J84">
        <v>0.69799999999999995</v>
      </c>
      <c r="K84">
        <v>0.79</v>
      </c>
      <c r="L84" s="3">
        <f>MEDIAN(J84:J86)</f>
        <v>0.47799999999999998</v>
      </c>
      <c r="M84" s="3">
        <f>MEDIAN(K84:K86)</f>
        <v>0.629</v>
      </c>
    </row>
    <row r="85" spans="1:13" x14ac:dyDescent="0.25">
      <c r="A85" s="2" t="s">
        <v>88</v>
      </c>
      <c r="B85">
        <v>0.80300000000000005</v>
      </c>
      <c r="C85">
        <v>0.85199999999999998</v>
      </c>
      <c r="E85" s="3"/>
      <c r="J85">
        <v>0.47799999999999998</v>
      </c>
      <c r="K85">
        <v>0.629</v>
      </c>
      <c r="L85" s="3"/>
      <c r="M85" s="3"/>
    </row>
    <row r="86" spans="1:13" x14ac:dyDescent="0.25">
      <c r="A86" s="2" t="s">
        <v>89</v>
      </c>
      <c r="B86">
        <v>0.70699999999999996</v>
      </c>
      <c r="C86">
        <v>0.76700000000000002</v>
      </c>
      <c r="E86" s="3"/>
      <c r="J86">
        <v>0.23300000000000001</v>
      </c>
      <c r="K86">
        <v>0.46700000000000003</v>
      </c>
      <c r="L86" s="3"/>
      <c r="M86" s="3"/>
    </row>
    <row r="87" spans="1:13" x14ac:dyDescent="0.25">
      <c r="A87" s="2" t="s">
        <v>90</v>
      </c>
      <c r="B87">
        <v>0.88600000000000001</v>
      </c>
      <c r="C87">
        <v>0.93100000000000005</v>
      </c>
      <c r="D87" s="3">
        <f>MEDIAN(B87)</f>
        <v>0.88600000000000001</v>
      </c>
      <c r="E87" s="3">
        <f>MEDIAN(C87)</f>
        <v>0.93100000000000005</v>
      </c>
      <c r="J87">
        <v>0.89500000000000002</v>
      </c>
      <c r="K87">
        <v>0.88</v>
      </c>
      <c r="L87" s="3">
        <f>MEDIAN(J87)</f>
        <v>0.89500000000000002</v>
      </c>
      <c r="M87" s="3">
        <f>MEDIAN(K87)</f>
        <v>0.88</v>
      </c>
    </row>
    <row r="88" spans="1:13" x14ac:dyDescent="0.25">
      <c r="A88" s="2" t="s">
        <v>91</v>
      </c>
      <c r="B88">
        <v>0.86699999999999999</v>
      </c>
      <c r="C88">
        <v>0.91600000000000004</v>
      </c>
      <c r="D88" s="3">
        <f>MEDIAN(B88:B90)</f>
        <v>0.86699999999999999</v>
      </c>
      <c r="E88" s="3">
        <f>MEDIAN(C88:C90)</f>
        <v>0.91600000000000004</v>
      </c>
      <c r="J88">
        <v>0.77200000000000002</v>
      </c>
      <c r="K88">
        <v>0.82199999999999995</v>
      </c>
      <c r="L88" s="3">
        <f>MEDIAN(J88:J90)</f>
        <v>0.77200000000000002</v>
      </c>
      <c r="M88" s="3">
        <f>MEDIAN(K88:K90)</f>
        <v>0.82199999999999995</v>
      </c>
    </row>
    <row r="89" spans="1:13" x14ac:dyDescent="0.25">
      <c r="A89" s="2" t="s">
        <v>92</v>
      </c>
      <c r="B89">
        <v>0.70699999999999996</v>
      </c>
      <c r="C89">
        <v>0.76300000000000001</v>
      </c>
      <c r="E89" s="3"/>
      <c r="J89">
        <v>0.27900000000000003</v>
      </c>
      <c r="K89">
        <v>0.438</v>
      </c>
      <c r="L89" s="3"/>
      <c r="M89" s="3"/>
    </row>
    <row r="90" spans="1:13" x14ac:dyDescent="0.25">
      <c r="A90" s="2" t="s">
        <v>93</v>
      </c>
      <c r="B90">
        <v>0.88600000000000001</v>
      </c>
      <c r="C90">
        <v>0.93100000000000005</v>
      </c>
      <c r="E90" s="3"/>
      <c r="J90">
        <v>0.89500000000000002</v>
      </c>
      <c r="K90">
        <v>0.88</v>
      </c>
      <c r="L90" s="3"/>
      <c r="M90" s="3"/>
    </row>
    <row r="91" spans="1:13" x14ac:dyDescent="0.25">
      <c r="A91" s="2" t="s">
        <v>94</v>
      </c>
      <c r="B91">
        <v>0.85799999999999998</v>
      </c>
      <c r="C91">
        <v>0.91200000000000003</v>
      </c>
      <c r="D91" s="3">
        <f>MEDIAN(B91:B92)</f>
        <v>0.82200000000000006</v>
      </c>
      <c r="E91" s="3">
        <f>MEDIAN(C91:C92)</f>
        <v>0.86850000000000005</v>
      </c>
      <c r="J91">
        <v>0.75800000000000001</v>
      </c>
      <c r="K91">
        <v>0.79200000000000004</v>
      </c>
      <c r="L91" s="3">
        <f>MEDIAN(J91:J92)</f>
        <v>0.59850000000000003</v>
      </c>
      <c r="M91" s="3">
        <f>MEDIAN(K91:K92)</f>
        <v>0.71500000000000008</v>
      </c>
    </row>
    <row r="92" spans="1:13" x14ac:dyDescent="0.25">
      <c r="A92" s="2" t="s">
        <v>95</v>
      </c>
      <c r="B92">
        <v>0.78600000000000003</v>
      </c>
      <c r="C92">
        <v>0.82499999999999996</v>
      </c>
      <c r="E92" s="3"/>
      <c r="J92">
        <v>0.439</v>
      </c>
      <c r="K92">
        <v>0.63800000000000001</v>
      </c>
      <c r="L92" s="3"/>
      <c r="M92" s="3"/>
    </row>
    <row r="93" spans="1:13" x14ac:dyDescent="0.25">
      <c r="A93" s="2" t="s">
        <v>96</v>
      </c>
      <c r="B93">
        <v>0.86299999999999999</v>
      </c>
      <c r="C93">
        <v>0.91600000000000004</v>
      </c>
      <c r="D93" s="3">
        <f>MEDIAN(B93:B95)</f>
        <v>0.84899999999999998</v>
      </c>
      <c r="E93" s="3">
        <f>MEDIAN(C93:C95)</f>
        <v>0.90800000000000003</v>
      </c>
      <c r="J93">
        <v>0.76900000000000002</v>
      </c>
      <c r="K93">
        <v>0.81</v>
      </c>
      <c r="L93" s="3">
        <f>MEDIAN(J93:J95)</f>
        <v>0.69799999999999995</v>
      </c>
      <c r="M93" s="3">
        <f>MEDIAN(K93:K95)</f>
        <v>0.79400000000000004</v>
      </c>
    </row>
    <row r="94" spans="1:13" x14ac:dyDescent="0.25">
      <c r="A94" s="2" t="s">
        <v>97</v>
      </c>
      <c r="B94">
        <v>0.84899999999999998</v>
      </c>
      <c r="C94">
        <v>0.90800000000000003</v>
      </c>
      <c r="E94" s="3"/>
      <c r="J94">
        <v>0.69799999999999995</v>
      </c>
      <c r="K94">
        <v>0.79400000000000004</v>
      </c>
      <c r="L94" s="3"/>
      <c r="M94" s="3"/>
    </row>
    <row r="95" spans="1:13" x14ac:dyDescent="0.25">
      <c r="A95" s="2" t="s">
        <v>98</v>
      </c>
      <c r="B95">
        <v>0.72599999999999998</v>
      </c>
      <c r="C95">
        <v>0.77300000000000002</v>
      </c>
      <c r="E95" s="3"/>
      <c r="J95">
        <v>0.34499999999999997</v>
      </c>
      <c r="K95">
        <v>0.52700000000000002</v>
      </c>
      <c r="L95" s="3"/>
      <c r="M95" s="3"/>
    </row>
    <row r="96" spans="1:13" x14ac:dyDescent="0.25">
      <c r="A96" s="2" t="s">
        <v>99</v>
      </c>
      <c r="B96">
        <v>0.88900000000000001</v>
      </c>
      <c r="C96">
        <v>0.94099999999999995</v>
      </c>
      <c r="D96" s="3">
        <f>MEDIAN(B96)</f>
        <v>0.88900000000000001</v>
      </c>
      <c r="E96" s="3">
        <f>MEDIAN(C96)</f>
        <v>0.94099999999999995</v>
      </c>
      <c r="J96">
        <v>0.84899999999999998</v>
      </c>
      <c r="K96">
        <v>0.92300000000000004</v>
      </c>
      <c r="L96" s="3">
        <f>MEDIAN(J96)</f>
        <v>0.84899999999999998</v>
      </c>
      <c r="M96" s="3">
        <f>MEDIAN(K96)</f>
        <v>0.92300000000000004</v>
      </c>
    </row>
    <row r="97" spans="1:13" x14ac:dyDescent="0.25">
      <c r="A97" s="2" t="s">
        <v>100</v>
      </c>
      <c r="B97">
        <v>0.752</v>
      </c>
      <c r="C97">
        <v>0.81100000000000005</v>
      </c>
      <c r="D97" s="3">
        <f>MEDIAN(B97:B101)</f>
        <v>0.77750000000000008</v>
      </c>
      <c r="E97" s="3">
        <f>MEDIAN(C97:C101)</f>
        <v>0.82499999999999996</v>
      </c>
      <c r="J97">
        <v>0.40100000000000002</v>
      </c>
      <c r="K97">
        <v>0.56699999999999995</v>
      </c>
      <c r="L97" s="3">
        <f>MEDIAN(J97:J101)</f>
        <v>0.4395</v>
      </c>
      <c r="M97" s="3">
        <f>MEDIAN(K97:K101)</f>
        <v>0.63800000000000001</v>
      </c>
    </row>
    <row r="98" spans="1:13" x14ac:dyDescent="0.25">
      <c r="A98" s="2" t="s">
        <v>101</v>
      </c>
      <c r="B98">
        <v>0.84599999999999997</v>
      </c>
      <c r="C98">
        <v>0.91200000000000003</v>
      </c>
      <c r="E98" s="3"/>
      <c r="J98">
        <v>0.68799999999999994</v>
      </c>
      <c r="K98">
        <v>0.82499999999999996</v>
      </c>
      <c r="L98" s="3"/>
      <c r="M98" s="3"/>
    </row>
    <row r="99" spans="1:13" x14ac:dyDescent="0.25">
      <c r="A99" s="2" t="s">
        <v>102</v>
      </c>
      <c r="C99">
        <v>0.89400000000000002</v>
      </c>
      <c r="E99" s="3"/>
      <c r="K99">
        <v>0.73099999999999998</v>
      </c>
      <c r="L99" s="3"/>
      <c r="M99" s="3"/>
    </row>
    <row r="100" spans="1:13" x14ac:dyDescent="0.25">
      <c r="A100" s="2" t="s">
        <v>103</v>
      </c>
      <c r="B100">
        <v>0.80300000000000005</v>
      </c>
      <c r="C100">
        <v>0.82499999999999996</v>
      </c>
      <c r="E100" s="3"/>
      <c r="J100">
        <v>0.47799999999999998</v>
      </c>
      <c r="K100">
        <v>0.63800000000000001</v>
      </c>
      <c r="L100" s="3"/>
      <c r="M100" s="3"/>
    </row>
    <row r="101" spans="1:13" x14ac:dyDescent="0.25">
      <c r="A101" s="2" t="s">
        <v>104</v>
      </c>
      <c r="B101">
        <v>0.72599999999999998</v>
      </c>
      <c r="C101">
        <v>0.77300000000000002</v>
      </c>
      <c r="E101" s="3"/>
      <c r="J101">
        <v>0.34499999999999997</v>
      </c>
      <c r="K101">
        <v>0.52700000000000002</v>
      </c>
      <c r="L101" s="3"/>
      <c r="M101" s="3"/>
    </row>
    <row r="102" spans="1:13" x14ac:dyDescent="0.25">
      <c r="A102" s="2" t="s">
        <v>105</v>
      </c>
      <c r="C102">
        <v>0.91800000000000004</v>
      </c>
      <c r="D102" s="3">
        <f>MEDIAN(B102:B105)</f>
        <v>0.78749999999999998</v>
      </c>
      <c r="E102" s="3">
        <f>MEDIAN(C102:C105)</f>
        <v>0.84250000000000003</v>
      </c>
      <c r="K102">
        <v>0.83</v>
      </c>
      <c r="L102" s="3">
        <f>MEDIAN(J102:J105)</f>
        <v>0.52149999999999996</v>
      </c>
      <c r="M102" s="3">
        <f>MEDIAN(K102:K105)</f>
        <v>0.67599999999999993</v>
      </c>
    </row>
    <row r="103" spans="1:13" x14ac:dyDescent="0.25">
      <c r="A103" s="2" t="s">
        <v>106</v>
      </c>
      <c r="B103">
        <v>0.84899999999999998</v>
      </c>
      <c r="C103">
        <v>0.91200000000000003</v>
      </c>
      <c r="E103" s="3"/>
      <c r="J103">
        <v>0.69799999999999995</v>
      </c>
      <c r="K103">
        <v>0.82499999999999996</v>
      </c>
      <c r="L103" s="3"/>
      <c r="M103" s="3"/>
    </row>
    <row r="104" spans="1:13" x14ac:dyDescent="0.25">
      <c r="A104" s="2" t="s">
        <v>107</v>
      </c>
      <c r="B104">
        <v>0.72599999999999998</v>
      </c>
      <c r="C104">
        <v>0.77300000000000002</v>
      </c>
      <c r="E104" s="3"/>
      <c r="J104">
        <v>0.34499999999999997</v>
      </c>
      <c r="K104">
        <v>0.52700000000000002</v>
      </c>
      <c r="L104" s="3"/>
      <c r="M104" s="3"/>
    </row>
    <row r="105" spans="1:13" x14ac:dyDescent="0.25">
      <c r="A105" s="2" t="s">
        <v>108</v>
      </c>
      <c r="C105">
        <v>0.76300000000000001</v>
      </c>
      <c r="E105" s="3"/>
      <c r="K105">
        <v>0.438</v>
      </c>
      <c r="L105" s="3"/>
      <c r="M105" s="3"/>
    </row>
    <row r="106" spans="1:13" x14ac:dyDescent="0.25">
      <c r="A106" s="2" t="s">
        <v>109</v>
      </c>
      <c r="B106">
        <v>0.89600000000000002</v>
      </c>
      <c r="C106">
        <v>0.95199999999999996</v>
      </c>
      <c r="D106" s="3">
        <f>MEDIAN(B106:B108)</f>
        <v>0.88600000000000001</v>
      </c>
      <c r="E106" s="3">
        <f>MEDIAN(C106:C108)</f>
        <v>0.93100000000000005</v>
      </c>
      <c r="J106">
        <v>0.88900000000000001</v>
      </c>
      <c r="K106">
        <v>0.92400000000000004</v>
      </c>
      <c r="L106" s="3">
        <f>MEDIAN(J106:J108)</f>
        <v>0.88900000000000001</v>
      </c>
      <c r="M106" s="3">
        <f>MEDIAN(K106:K108)</f>
        <v>0.88</v>
      </c>
    </row>
    <row r="107" spans="1:13" x14ac:dyDescent="0.25">
      <c r="A107" s="2" t="s">
        <v>110</v>
      </c>
      <c r="B107">
        <v>0.878</v>
      </c>
      <c r="C107">
        <v>0.92900000000000005</v>
      </c>
      <c r="E107" s="3"/>
      <c r="J107">
        <v>0.80300000000000005</v>
      </c>
      <c r="K107">
        <v>0.878</v>
      </c>
      <c r="L107" s="3"/>
      <c r="M107" s="3"/>
    </row>
    <row r="108" spans="1:13" x14ac:dyDescent="0.25">
      <c r="A108" s="2" t="s">
        <v>111</v>
      </c>
      <c r="B108">
        <v>0.88600000000000001</v>
      </c>
      <c r="C108">
        <v>0.93100000000000005</v>
      </c>
      <c r="E108" s="3"/>
      <c r="J108">
        <v>0.89500000000000002</v>
      </c>
      <c r="K108">
        <v>0.88</v>
      </c>
      <c r="L108" s="3"/>
      <c r="M108" s="3"/>
    </row>
    <row r="109" spans="1:13" x14ac:dyDescent="0.25">
      <c r="A109" s="2" t="s">
        <v>112</v>
      </c>
      <c r="B109">
        <v>0.878</v>
      </c>
      <c r="C109">
        <v>0.92600000000000005</v>
      </c>
      <c r="D109" s="3">
        <f>MEDIAN(B109:B118)</f>
        <v>0.85549999999999993</v>
      </c>
      <c r="E109" s="3">
        <f>MEDIAN(C109:C118)</f>
        <v>0.90500000000000003</v>
      </c>
      <c r="J109">
        <v>0.80300000000000005</v>
      </c>
      <c r="K109">
        <v>0.84599999999999997</v>
      </c>
      <c r="L109" s="3">
        <f>MEDIAN(J109:J118)</f>
        <v>0.69399999999999995</v>
      </c>
      <c r="M109" s="3">
        <f>MEDIAN(K109:K118)</f>
        <v>0.77649999999999997</v>
      </c>
    </row>
    <row r="110" spans="1:13" x14ac:dyDescent="0.25">
      <c r="A110" s="2" t="s">
        <v>113</v>
      </c>
      <c r="B110">
        <v>0.84399999999999997</v>
      </c>
      <c r="C110">
        <v>0.89400000000000002</v>
      </c>
      <c r="E110" s="3"/>
      <c r="J110">
        <v>0.61599999999999999</v>
      </c>
      <c r="K110">
        <v>0.73099999999999998</v>
      </c>
      <c r="L110" s="3"/>
      <c r="M110" s="3"/>
    </row>
    <row r="111" spans="1:13" x14ac:dyDescent="0.25">
      <c r="A111" s="2" t="s">
        <v>114</v>
      </c>
      <c r="B111">
        <v>0.88600000000000001</v>
      </c>
      <c r="C111">
        <v>0.94099999999999995</v>
      </c>
      <c r="E111" s="3"/>
      <c r="J111">
        <v>0.89500000000000002</v>
      </c>
      <c r="K111">
        <v>0.92300000000000004</v>
      </c>
      <c r="L111" s="3"/>
      <c r="M111" s="3"/>
    </row>
    <row r="112" spans="1:13" x14ac:dyDescent="0.25">
      <c r="A112" s="2" t="s">
        <v>115</v>
      </c>
      <c r="B112">
        <v>0.88800000000000001</v>
      </c>
      <c r="C112">
        <v>0.94399999999999995</v>
      </c>
      <c r="E112" s="3"/>
      <c r="J112">
        <v>0.87</v>
      </c>
      <c r="K112">
        <v>0.93200000000000005</v>
      </c>
      <c r="L112" s="3"/>
      <c r="M112" s="3"/>
    </row>
    <row r="113" spans="1:13" x14ac:dyDescent="0.25">
      <c r="A113" s="2" t="s">
        <v>116</v>
      </c>
      <c r="B113">
        <v>0.78600000000000003</v>
      </c>
      <c r="C113">
        <v>0.82499999999999996</v>
      </c>
      <c r="E113" s="3"/>
      <c r="J113">
        <v>0.439</v>
      </c>
      <c r="K113">
        <v>0.63800000000000001</v>
      </c>
      <c r="L113" s="3"/>
      <c r="M113" s="3"/>
    </row>
    <row r="114" spans="1:13" x14ac:dyDescent="0.25">
      <c r="A114" s="2" t="s">
        <v>117</v>
      </c>
      <c r="B114">
        <v>0.84399999999999997</v>
      </c>
      <c r="C114">
        <v>0.89400000000000002</v>
      </c>
      <c r="E114" s="3"/>
      <c r="J114">
        <v>0.61599999999999999</v>
      </c>
      <c r="K114">
        <v>0.73099999999999998</v>
      </c>
      <c r="L114" s="3"/>
      <c r="M114" s="3"/>
    </row>
    <row r="115" spans="1:13" x14ac:dyDescent="0.25">
      <c r="A115" s="2" t="s">
        <v>118</v>
      </c>
      <c r="B115">
        <v>0.86699999999999999</v>
      </c>
      <c r="C115">
        <v>0.91600000000000004</v>
      </c>
      <c r="E115" s="3"/>
      <c r="J115">
        <v>0.77200000000000002</v>
      </c>
      <c r="K115">
        <v>0.82199999999999995</v>
      </c>
      <c r="L115" s="3"/>
      <c r="M115" s="3"/>
    </row>
    <row r="116" spans="1:13" x14ac:dyDescent="0.25">
      <c r="A116" s="2" t="s">
        <v>119</v>
      </c>
      <c r="B116">
        <v>0.82099999999999995</v>
      </c>
      <c r="C116">
        <v>0.86499999999999999</v>
      </c>
      <c r="E116" s="3"/>
      <c r="J116">
        <v>0.51500000000000001</v>
      </c>
      <c r="K116">
        <v>0.67200000000000004</v>
      </c>
      <c r="L116" s="3"/>
      <c r="M116" s="3"/>
    </row>
    <row r="117" spans="1:13" x14ac:dyDescent="0.25">
      <c r="A117" s="2" t="s">
        <v>120</v>
      </c>
      <c r="B117">
        <v>0.876</v>
      </c>
      <c r="C117">
        <v>0.92600000000000005</v>
      </c>
      <c r="E117" s="3"/>
      <c r="J117">
        <v>0.81499999999999995</v>
      </c>
      <c r="K117">
        <v>0.84599999999999997</v>
      </c>
      <c r="L117" s="3"/>
      <c r="M117" s="3"/>
    </row>
    <row r="118" spans="1:13" x14ac:dyDescent="0.25">
      <c r="A118" s="2" t="s">
        <v>121</v>
      </c>
      <c r="B118">
        <v>0.70699999999999996</v>
      </c>
      <c r="C118">
        <v>0.76900000000000002</v>
      </c>
      <c r="E118" s="3"/>
      <c r="J118">
        <v>0.23300000000000001</v>
      </c>
      <c r="K118">
        <v>0.47599999999999998</v>
      </c>
      <c r="L118" s="3"/>
      <c r="M118" s="3"/>
    </row>
    <row r="119" spans="1:13" x14ac:dyDescent="0.25">
      <c r="A119" s="2" t="s">
        <v>122</v>
      </c>
      <c r="B119">
        <v>0.874</v>
      </c>
      <c r="C119">
        <v>0.92600000000000005</v>
      </c>
      <c r="D119" s="3">
        <f>MEDIAN(B119:B120)</f>
        <v>0.83850000000000002</v>
      </c>
      <c r="E119" s="3">
        <f>MEDIAN(C119:C120)</f>
        <v>0.88549999999999995</v>
      </c>
      <c r="J119">
        <v>0.77200000000000002</v>
      </c>
      <c r="K119">
        <v>0.84599999999999997</v>
      </c>
      <c r="L119" s="3">
        <f>MEDIAN(J119:J120)</f>
        <v>0.625</v>
      </c>
      <c r="M119" s="3">
        <f>MEDIAN(K119:K120)</f>
        <v>0.72049999999999992</v>
      </c>
    </row>
    <row r="120" spans="1:13" x14ac:dyDescent="0.25">
      <c r="A120" s="2" t="s">
        <v>123</v>
      </c>
      <c r="B120">
        <v>0.80300000000000005</v>
      </c>
      <c r="C120">
        <v>0.84499999999999997</v>
      </c>
      <c r="E120" s="3"/>
      <c r="J120">
        <v>0.47799999999999998</v>
      </c>
      <c r="K120">
        <v>0.59499999999999997</v>
      </c>
      <c r="L120" s="3"/>
      <c r="M120" s="3"/>
    </row>
    <row r="121" spans="1:13" x14ac:dyDescent="0.25">
      <c r="A121" s="2" t="s">
        <v>124</v>
      </c>
      <c r="B121">
        <v>0.82799999999999996</v>
      </c>
      <c r="C121">
        <v>0.86499999999999999</v>
      </c>
      <c r="D121" s="4">
        <f>MEDIAN(B121:B124)</f>
        <v>0.84250000000000003</v>
      </c>
      <c r="E121" s="4">
        <f>MEDIAN(C121:C124)</f>
        <v>0.89050000000000007</v>
      </c>
      <c r="J121">
        <v>0.53300000000000003</v>
      </c>
      <c r="K121">
        <v>0.67200000000000004</v>
      </c>
      <c r="L121" s="4">
        <f>MEDIAN(J121:J124)</f>
        <v>0.65600000000000003</v>
      </c>
      <c r="M121" s="4">
        <f>MEDIAN(K121:K124)</f>
        <v>0.75350000000000006</v>
      </c>
    </row>
    <row r="122" spans="1:13" x14ac:dyDescent="0.25">
      <c r="A122" s="2" t="s">
        <v>125</v>
      </c>
      <c r="B122">
        <v>0.72399999999999998</v>
      </c>
      <c r="C122">
        <v>0.78600000000000003</v>
      </c>
      <c r="E122" s="3"/>
      <c r="J122">
        <v>0.30599999999999999</v>
      </c>
      <c r="K122">
        <v>0.52500000000000002</v>
      </c>
      <c r="L122" s="3"/>
      <c r="M122" s="3"/>
    </row>
    <row r="123" spans="1:13" x14ac:dyDescent="0.25">
      <c r="A123" s="2" t="s">
        <v>126</v>
      </c>
      <c r="B123">
        <v>0.85699999999999998</v>
      </c>
      <c r="C123">
        <v>0.91600000000000004</v>
      </c>
      <c r="E123" s="3"/>
      <c r="J123">
        <v>0.77900000000000003</v>
      </c>
      <c r="K123">
        <v>0.83499999999999996</v>
      </c>
      <c r="L123" s="3"/>
      <c r="M123" s="3"/>
    </row>
    <row r="124" spans="1:13" x14ac:dyDescent="0.25">
      <c r="A124" s="2" t="s">
        <v>127</v>
      </c>
      <c r="B124">
        <v>0.85699999999999998</v>
      </c>
      <c r="C124">
        <v>0.91600000000000004</v>
      </c>
      <c r="E124" s="3"/>
      <c r="J124">
        <v>0.77900000000000003</v>
      </c>
      <c r="K124">
        <v>0.83499999999999996</v>
      </c>
      <c r="L124" s="3"/>
      <c r="M124" s="3"/>
    </row>
    <row r="125" spans="1:13" x14ac:dyDescent="0.25">
      <c r="A125" s="2" t="s">
        <v>128</v>
      </c>
      <c r="B125">
        <v>0.876</v>
      </c>
      <c r="C125">
        <v>0.93200000000000005</v>
      </c>
      <c r="D125" s="3">
        <f>MEDIAN(B125:B126)</f>
        <v>0.86949999999999994</v>
      </c>
      <c r="E125" s="3">
        <f>MEDIAN(C125:C126)</f>
        <v>0.92500000000000004</v>
      </c>
      <c r="J125">
        <v>0.81499999999999995</v>
      </c>
      <c r="K125">
        <v>0.90800000000000003</v>
      </c>
      <c r="L125" s="3">
        <f>MEDIAN(J125:J126)</f>
        <v>0.77249999999999996</v>
      </c>
      <c r="M125" s="3">
        <f>MEDIAN(K125:K126)</f>
        <v>0.86899999999999999</v>
      </c>
    </row>
    <row r="126" spans="1:13" x14ac:dyDescent="0.25">
      <c r="A126" s="2" t="s">
        <v>129</v>
      </c>
      <c r="B126">
        <v>0.86299999999999999</v>
      </c>
      <c r="C126">
        <v>0.91800000000000004</v>
      </c>
      <c r="E126" s="3"/>
      <c r="J126">
        <v>0.73</v>
      </c>
      <c r="K126">
        <v>0.83</v>
      </c>
      <c r="L126" s="3"/>
      <c r="M126" s="3"/>
    </row>
    <row r="127" spans="1:13" x14ac:dyDescent="0.25">
      <c r="A127" s="2" t="s">
        <v>130</v>
      </c>
      <c r="B127">
        <v>0.84399999999999997</v>
      </c>
      <c r="C127">
        <v>0.89500000000000002</v>
      </c>
      <c r="D127" s="3">
        <f>MEDIAN(B127:B128)</f>
        <v>0.83250000000000002</v>
      </c>
      <c r="E127" s="3">
        <f>MEDIAN(C127:C128)</f>
        <v>0.87349999999999994</v>
      </c>
      <c r="J127">
        <v>0.61599999999999999</v>
      </c>
      <c r="K127">
        <v>0.75</v>
      </c>
      <c r="L127" s="3">
        <f>MEDIAN(J127:J128)</f>
        <v>0.5655</v>
      </c>
      <c r="M127" s="3">
        <f>MEDIAN(K127:K128)</f>
        <v>0.6895</v>
      </c>
    </row>
    <row r="128" spans="1:13" x14ac:dyDescent="0.25">
      <c r="A128" s="2" t="s">
        <v>131</v>
      </c>
      <c r="B128">
        <v>0.82099999999999995</v>
      </c>
      <c r="C128">
        <v>0.85199999999999998</v>
      </c>
      <c r="E128" s="3"/>
      <c r="J128">
        <v>0.51500000000000001</v>
      </c>
      <c r="K128">
        <v>0.629</v>
      </c>
      <c r="L128" s="3"/>
      <c r="M128" s="3"/>
    </row>
    <row r="129" spans="1:13" x14ac:dyDescent="0.25">
      <c r="A129" s="2" t="s">
        <v>132</v>
      </c>
      <c r="B129">
        <v>0.88800000000000001</v>
      </c>
      <c r="C129">
        <v>0.94399999999999995</v>
      </c>
      <c r="D129" s="3">
        <f>MEDIAN(B129)</f>
        <v>0.88800000000000001</v>
      </c>
      <c r="E129" s="3">
        <f>MEDIAN(C129)</f>
        <v>0.94399999999999995</v>
      </c>
      <c r="J129">
        <v>0.87</v>
      </c>
      <c r="K129">
        <v>0.93200000000000005</v>
      </c>
      <c r="L129" s="3">
        <f>MEDIAN(J129)</f>
        <v>0.87</v>
      </c>
      <c r="M129" s="3">
        <f>MEDIAN(K129)</f>
        <v>0.93200000000000005</v>
      </c>
    </row>
    <row r="130" spans="1:13" x14ac:dyDescent="0.25">
      <c r="A130" s="2" t="s">
        <v>133</v>
      </c>
      <c r="B130">
        <v>0.85699999999999998</v>
      </c>
      <c r="C130">
        <v>0.91600000000000004</v>
      </c>
      <c r="D130" s="3">
        <f>MEDIAN(B130:B131)</f>
        <v>0.84699999999999998</v>
      </c>
      <c r="E130" s="3">
        <f>MEDIAN(C130:C131)</f>
        <v>0.90549999999999997</v>
      </c>
      <c r="J130">
        <v>0.77900000000000003</v>
      </c>
      <c r="K130">
        <v>0.83499999999999996</v>
      </c>
      <c r="L130" s="3">
        <f>MEDIAN(J130:J131)</f>
        <v>0.67300000000000004</v>
      </c>
      <c r="M130" s="3">
        <f>MEDIAN(K130:K131)</f>
        <v>0.79249999999999998</v>
      </c>
    </row>
    <row r="131" spans="1:13" x14ac:dyDescent="0.25">
      <c r="A131" s="2" t="s">
        <v>134</v>
      </c>
      <c r="B131">
        <v>0.83699999999999997</v>
      </c>
      <c r="C131">
        <v>0.89500000000000002</v>
      </c>
      <c r="E131" s="3"/>
      <c r="J131">
        <v>0.56699999999999995</v>
      </c>
      <c r="K131">
        <v>0.75</v>
      </c>
      <c r="L131" s="3"/>
      <c r="M131" s="3"/>
    </row>
    <row r="132" spans="1:13" x14ac:dyDescent="0.25">
      <c r="A132" s="2" t="s">
        <v>135</v>
      </c>
      <c r="B132">
        <v>0.88600000000000001</v>
      </c>
      <c r="C132">
        <v>0.93100000000000005</v>
      </c>
      <c r="D132" s="3">
        <f>MEDIAN(B132)</f>
        <v>0.88600000000000001</v>
      </c>
      <c r="E132" s="3">
        <f>MEDIAN(C132)</f>
        <v>0.93100000000000005</v>
      </c>
      <c r="J132">
        <v>0.89500000000000002</v>
      </c>
      <c r="K132">
        <v>0.88</v>
      </c>
      <c r="L132" s="3">
        <f>MEDIAN(J132)</f>
        <v>0.89500000000000002</v>
      </c>
      <c r="M132" s="3">
        <f>MEDIAN(K132)</f>
        <v>0.88</v>
      </c>
    </row>
    <row r="133" spans="1:13" x14ac:dyDescent="0.25">
      <c r="A133" s="2" t="s">
        <v>136</v>
      </c>
      <c r="B133">
        <v>0.84899999999999998</v>
      </c>
      <c r="C133">
        <v>0.91</v>
      </c>
      <c r="D133" s="3">
        <f>MEDIAN(B133:B136)</f>
        <v>0.84650000000000003</v>
      </c>
      <c r="E133" s="3">
        <f>MEDIAN(C133:C136)</f>
        <v>0.90250000000000008</v>
      </c>
      <c r="J133">
        <v>0.69799999999999995</v>
      </c>
      <c r="K133">
        <v>0.79</v>
      </c>
      <c r="L133" s="3">
        <f>MEDIAN(J133:J136)</f>
        <v>0.65700000000000003</v>
      </c>
      <c r="M133" s="3">
        <f>MEDIAN(K133:K136)</f>
        <v>0.77</v>
      </c>
    </row>
    <row r="134" spans="1:13" x14ac:dyDescent="0.25">
      <c r="A134" s="2" t="s">
        <v>137</v>
      </c>
      <c r="B134">
        <v>0.88600000000000001</v>
      </c>
      <c r="C134">
        <v>0.93100000000000005</v>
      </c>
      <c r="E134" s="3"/>
      <c r="J134">
        <v>0.89500000000000002</v>
      </c>
      <c r="K134">
        <v>0.88</v>
      </c>
      <c r="L134" s="3"/>
      <c r="M134" s="3"/>
    </row>
    <row r="135" spans="1:13" x14ac:dyDescent="0.25">
      <c r="A135" s="2" t="s">
        <v>138</v>
      </c>
      <c r="B135">
        <v>0.84399999999999997</v>
      </c>
      <c r="C135">
        <v>0.89400000000000002</v>
      </c>
      <c r="E135" s="3"/>
      <c r="J135">
        <v>0.61599999999999999</v>
      </c>
      <c r="K135">
        <v>0.73099999999999998</v>
      </c>
      <c r="L135" s="3"/>
      <c r="M135" s="3"/>
    </row>
    <row r="136" spans="1:13" x14ac:dyDescent="0.25">
      <c r="A136" s="2" t="s">
        <v>139</v>
      </c>
      <c r="B136">
        <v>0.83699999999999997</v>
      </c>
      <c r="C136">
        <v>0.89500000000000002</v>
      </c>
      <c r="E136" s="3"/>
      <c r="J136">
        <v>0.56699999999999995</v>
      </c>
      <c r="K136">
        <v>0.75</v>
      </c>
      <c r="L136" s="3"/>
      <c r="M136" s="3"/>
    </row>
    <row r="137" spans="1:13" x14ac:dyDescent="0.25">
      <c r="A137" s="2" t="s">
        <v>140</v>
      </c>
      <c r="B137">
        <v>0.86499999999999999</v>
      </c>
      <c r="C137">
        <v>0.91600000000000004</v>
      </c>
      <c r="D137" s="3">
        <f>MEDIAN(B137)</f>
        <v>0.86499999999999999</v>
      </c>
      <c r="E137" s="3">
        <f>MEDIAN(C137)</f>
        <v>0.91600000000000004</v>
      </c>
      <c r="J137">
        <v>0.78100000000000003</v>
      </c>
      <c r="K137">
        <v>0.81</v>
      </c>
      <c r="L137" s="3">
        <f>MEDIAN(J137)</f>
        <v>0.78100000000000003</v>
      </c>
      <c r="M137" s="3">
        <f>MEDIAN(K137)</f>
        <v>0.81</v>
      </c>
    </row>
    <row r="138" spans="1:13" x14ac:dyDescent="0.25">
      <c r="A138" s="2" t="s">
        <v>141</v>
      </c>
      <c r="B138">
        <v>0.79300000000000004</v>
      </c>
      <c r="C138">
        <v>0.81200000000000006</v>
      </c>
      <c r="D138" s="3">
        <f>MEDIAN(B138:B141)</f>
        <v>0.78950000000000009</v>
      </c>
      <c r="E138" s="3">
        <f>MEDIAN(C138:C141)</f>
        <v>0.82850000000000001</v>
      </c>
      <c r="J138">
        <v>0.46700000000000003</v>
      </c>
      <c r="K138">
        <v>0.55700000000000005</v>
      </c>
      <c r="L138" s="3">
        <f>MEDIAN(J138:J141)</f>
        <v>0.45300000000000001</v>
      </c>
      <c r="M138" s="3">
        <f>MEDIAN(K138:K141)</f>
        <v>0.57600000000000007</v>
      </c>
    </row>
    <row r="139" spans="1:13" x14ac:dyDescent="0.25">
      <c r="A139" s="2" t="s">
        <v>142</v>
      </c>
      <c r="B139">
        <v>0.78600000000000003</v>
      </c>
      <c r="C139">
        <v>0.84499999999999997</v>
      </c>
      <c r="E139" s="3"/>
      <c r="J139">
        <v>0.439</v>
      </c>
      <c r="K139">
        <v>0.59499999999999997</v>
      </c>
      <c r="L139" s="3"/>
      <c r="M139" s="3"/>
    </row>
    <row r="140" spans="1:13" x14ac:dyDescent="0.25">
      <c r="A140" s="2" t="s">
        <v>143</v>
      </c>
      <c r="B140">
        <v>0.82</v>
      </c>
      <c r="C140">
        <v>0.86499999999999999</v>
      </c>
      <c r="E140" s="3"/>
      <c r="J140">
        <v>0.51300000000000001</v>
      </c>
      <c r="K140">
        <v>0.67200000000000004</v>
      </c>
      <c r="L140" s="3"/>
      <c r="M140" s="3"/>
    </row>
    <row r="141" spans="1:13" x14ac:dyDescent="0.25">
      <c r="A141" s="2" t="s">
        <v>144</v>
      </c>
      <c r="B141">
        <v>0.748</v>
      </c>
      <c r="C141">
        <v>0.81200000000000006</v>
      </c>
      <c r="E141" s="3"/>
      <c r="J141">
        <v>0.41399999999999998</v>
      </c>
      <c r="K141">
        <v>0.55700000000000005</v>
      </c>
      <c r="L141" s="3"/>
      <c r="M141" s="3"/>
    </row>
    <row r="142" spans="1:13" x14ac:dyDescent="0.25">
      <c r="A142" s="2" t="s">
        <v>145</v>
      </c>
      <c r="B142">
        <v>0.72699999999999998</v>
      </c>
      <c r="C142">
        <v>0.78600000000000003</v>
      </c>
      <c r="D142" s="3">
        <f>MEDIAN(B142:B143)</f>
        <v>0.75649999999999995</v>
      </c>
      <c r="E142" s="3">
        <f>MEDIAN(C142:C143)</f>
        <v>0.80549999999999999</v>
      </c>
      <c r="J142">
        <v>0.34899999999999998</v>
      </c>
      <c r="K142">
        <v>0.52500000000000002</v>
      </c>
      <c r="L142" s="3">
        <f>MEDIAN(J142:J143)</f>
        <v>0.39400000000000002</v>
      </c>
      <c r="M142" s="3">
        <f>MEDIAN(K142:K143)</f>
        <v>0.58150000000000002</v>
      </c>
    </row>
    <row r="143" spans="1:13" x14ac:dyDescent="0.25">
      <c r="A143" s="2" t="s">
        <v>146</v>
      </c>
      <c r="B143">
        <v>0.78600000000000003</v>
      </c>
      <c r="C143">
        <v>0.82499999999999996</v>
      </c>
      <c r="E143" s="3"/>
      <c r="J143">
        <v>0.439</v>
      </c>
      <c r="K143">
        <v>0.63800000000000001</v>
      </c>
      <c r="L143" s="3"/>
      <c r="M143" s="3"/>
    </row>
    <row r="144" spans="1:13" x14ac:dyDescent="0.25">
      <c r="A144" s="2" t="s">
        <v>147</v>
      </c>
      <c r="B144">
        <v>0.78300000000000003</v>
      </c>
      <c r="C144">
        <v>0.84399999999999997</v>
      </c>
      <c r="D144" s="3">
        <f>MEDIAN(B144:B150)</f>
        <v>0.72699999999999998</v>
      </c>
      <c r="E144" s="3">
        <f>MEDIAN(C144:C150)</f>
        <v>0.78600000000000003</v>
      </c>
      <c r="J144">
        <v>0.44800000000000001</v>
      </c>
      <c r="K144">
        <v>0.59499999999999997</v>
      </c>
      <c r="L144" s="3">
        <f>MEDIAN(J144:J150)</f>
        <v>0.34899999999999998</v>
      </c>
      <c r="M144" s="3">
        <f>MEDIAN(K144:K150)</f>
        <v>0.52500000000000002</v>
      </c>
    </row>
    <row r="145" spans="1:13" x14ac:dyDescent="0.25">
      <c r="A145" s="2" t="s">
        <v>148</v>
      </c>
      <c r="B145">
        <v>0.72399999999999998</v>
      </c>
      <c r="C145">
        <v>0.77400000000000002</v>
      </c>
      <c r="E145" s="3"/>
      <c r="J145">
        <v>0.30599999999999999</v>
      </c>
      <c r="K145">
        <v>0.51800000000000002</v>
      </c>
      <c r="L145" s="3"/>
      <c r="M145" s="3"/>
    </row>
    <row r="146" spans="1:13" x14ac:dyDescent="0.25">
      <c r="A146" s="2" t="s">
        <v>149</v>
      </c>
      <c r="B146">
        <v>0.72699999999999998</v>
      </c>
      <c r="C146">
        <v>0.78600000000000003</v>
      </c>
      <c r="E146" s="3"/>
      <c r="J146">
        <v>0.34899999999999998</v>
      </c>
      <c r="K146">
        <v>0.52500000000000002</v>
      </c>
      <c r="L146" s="3"/>
      <c r="M146" s="3"/>
    </row>
    <row r="147" spans="1:13" x14ac:dyDescent="0.25">
      <c r="A147" s="2" t="s">
        <v>150</v>
      </c>
      <c r="B147">
        <v>0.72699999999999998</v>
      </c>
      <c r="C147">
        <v>0.78600000000000003</v>
      </c>
      <c r="E147" s="3"/>
      <c r="J147">
        <v>0.34899999999999998</v>
      </c>
      <c r="K147">
        <v>0.52500000000000002</v>
      </c>
      <c r="L147" s="3"/>
      <c r="M147" s="3"/>
    </row>
    <row r="148" spans="1:13" x14ac:dyDescent="0.25">
      <c r="A148" s="2" t="s">
        <v>151</v>
      </c>
      <c r="B148">
        <v>0.74199999999999999</v>
      </c>
      <c r="C148">
        <v>0.78600000000000003</v>
      </c>
      <c r="E148" s="3"/>
      <c r="J148">
        <v>0.42</v>
      </c>
      <c r="K148">
        <v>0.52500000000000002</v>
      </c>
      <c r="L148" s="3"/>
      <c r="M148" s="3"/>
    </row>
    <row r="149" spans="1:13" x14ac:dyDescent="0.25">
      <c r="A149" s="2" t="s">
        <v>152</v>
      </c>
      <c r="B149">
        <v>0.748</v>
      </c>
      <c r="C149">
        <v>0.81100000000000005</v>
      </c>
      <c r="E149" s="3"/>
      <c r="J149">
        <v>0.41399999999999998</v>
      </c>
      <c r="K149">
        <v>0.56699999999999995</v>
      </c>
      <c r="L149" s="3"/>
      <c r="M149" s="3"/>
    </row>
    <row r="150" spans="1:13" x14ac:dyDescent="0.25">
      <c r="A150" s="2" t="s">
        <v>153</v>
      </c>
      <c r="B150">
        <v>0.72599999999999998</v>
      </c>
      <c r="C150">
        <v>0.77300000000000002</v>
      </c>
      <c r="E150" s="3"/>
      <c r="J150">
        <v>0.34499999999999997</v>
      </c>
      <c r="K150">
        <v>0.52700000000000002</v>
      </c>
      <c r="L150" s="3"/>
      <c r="M150" s="3"/>
    </row>
    <row r="151" spans="1:13" x14ac:dyDescent="0.25">
      <c r="A151" s="2" t="s">
        <v>154</v>
      </c>
      <c r="B151">
        <v>0.752</v>
      </c>
      <c r="C151">
        <v>0.81200000000000006</v>
      </c>
      <c r="D151" s="3">
        <f>MEDIAN(B151:B161)</f>
        <v>0.70899999999999996</v>
      </c>
      <c r="E151" s="3">
        <f>MEDIAN(C151:C161)</f>
        <v>0.76900000000000002</v>
      </c>
      <c r="J151">
        <v>0.40100000000000002</v>
      </c>
      <c r="K151">
        <v>0.55700000000000005</v>
      </c>
      <c r="L151" s="3">
        <f>MEDIAN(J151:J161)</f>
        <v>0.3</v>
      </c>
      <c r="M151" s="3">
        <f>MEDIAN(K151:K161)</f>
        <v>0.47599999999999998</v>
      </c>
    </row>
    <row r="152" spans="1:13" x14ac:dyDescent="0.25">
      <c r="A152" s="2" t="s">
        <v>155</v>
      </c>
      <c r="B152">
        <v>0.70899999999999996</v>
      </c>
      <c r="C152">
        <v>0.76300000000000001</v>
      </c>
      <c r="E152" s="3"/>
      <c r="J152">
        <v>0.3</v>
      </c>
      <c r="K152">
        <v>0.438</v>
      </c>
      <c r="L152" s="3"/>
      <c r="M152" s="3"/>
    </row>
    <row r="153" spans="1:13" x14ac:dyDescent="0.25">
      <c r="A153" s="2" t="s">
        <v>156</v>
      </c>
      <c r="B153">
        <v>0.78800000000000003</v>
      </c>
      <c r="C153">
        <v>0.82499999999999996</v>
      </c>
      <c r="E153" s="3"/>
      <c r="J153">
        <v>0.42399999999999999</v>
      </c>
      <c r="K153">
        <v>0.63800000000000001</v>
      </c>
      <c r="L153" s="3"/>
      <c r="M153" s="3"/>
    </row>
    <row r="154" spans="1:13" x14ac:dyDescent="0.25">
      <c r="A154" s="2" t="s">
        <v>157</v>
      </c>
      <c r="B154">
        <v>0.70899999999999996</v>
      </c>
      <c r="C154">
        <v>0.76900000000000002</v>
      </c>
      <c r="E154" s="3"/>
      <c r="J154">
        <v>0.3</v>
      </c>
      <c r="K154">
        <v>0.47599999999999998</v>
      </c>
      <c r="L154" s="3"/>
      <c r="M154" s="3"/>
    </row>
    <row r="155" spans="1:13" x14ac:dyDescent="0.25">
      <c r="A155" s="2" t="s">
        <v>158</v>
      </c>
      <c r="B155">
        <v>0.84899999999999998</v>
      </c>
      <c r="C155">
        <v>0.91</v>
      </c>
      <c r="E155" s="3"/>
      <c r="J155">
        <v>0.69799999999999995</v>
      </c>
      <c r="K155">
        <v>0.79</v>
      </c>
      <c r="L155" s="3"/>
      <c r="M155" s="3"/>
    </row>
    <row r="156" spans="1:13" x14ac:dyDescent="0.25">
      <c r="A156" s="2" t="s">
        <v>159</v>
      </c>
      <c r="B156">
        <v>0.70899999999999996</v>
      </c>
      <c r="C156">
        <v>0.76300000000000001</v>
      </c>
      <c r="E156" s="3"/>
      <c r="J156">
        <v>0.3</v>
      </c>
      <c r="K156">
        <v>0.438</v>
      </c>
      <c r="L156" s="3"/>
      <c r="M156" s="3"/>
    </row>
    <row r="157" spans="1:13" x14ac:dyDescent="0.25">
      <c r="A157" s="2" t="s">
        <v>160</v>
      </c>
      <c r="B157">
        <v>0.71899999999999997</v>
      </c>
      <c r="C157">
        <v>0.81100000000000005</v>
      </c>
      <c r="E157" s="3"/>
      <c r="J157">
        <v>0.30599999999999999</v>
      </c>
      <c r="K157">
        <v>0.65400000000000003</v>
      </c>
      <c r="L157" s="3"/>
      <c r="M157" s="3"/>
    </row>
    <row r="158" spans="1:13" x14ac:dyDescent="0.25">
      <c r="A158" s="2" t="s">
        <v>161</v>
      </c>
      <c r="B158">
        <v>0.70899999999999996</v>
      </c>
      <c r="C158">
        <v>0.76700000000000002</v>
      </c>
      <c r="E158" s="3"/>
      <c r="J158">
        <v>0.3</v>
      </c>
      <c r="K158">
        <v>0.46700000000000003</v>
      </c>
      <c r="L158" s="3"/>
      <c r="M158" s="3"/>
    </row>
    <row r="159" spans="1:13" x14ac:dyDescent="0.25">
      <c r="A159" s="2" t="s">
        <v>162</v>
      </c>
      <c r="B159">
        <v>0.70699999999999996</v>
      </c>
      <c r="C159">
        <v>0.76300000000000001</v>
      </c>
      <c r="E159" s="3"/>
      <c r="J159">
        <v>0.23300000000000001</v>
      </c>
      <c r="K159">
        <v>0.438</v>
      </c>
      <c r="L159" s="3"/>
      <c r="M159" s="3"/>
    </row>
    <row r="160" spans="1:13" x14ac:dyDescent="0.25">
      <c r="A160" s="2" t="s">
        <v>163</v>
      </c>
      <c r="B160">
        <v>0.70899999999999996</v>
      </c>
      <c r="C160">
        <v>0.76900000000000002</v>
      </c>
      <c r="E160" s="3"/>
      <c r="J160">
        <v>0.3</v>
      </c>
      <c r="K160">
        <v>0.47599999999999998</v>
      </c>
      <c r="L160" s="3"/>
      <c r="M160" s="3"/>
    </row>
    <row r="161" spans="1:13" x14ac:dyDescent="0.25">
      <c r="A161" s="2" t="s">
        <v>164</v>
      </c>
      <c r="B161">
        <v>0.70899999999999996</v>
      </c>
      <c r="C161">
        <v>0.76500000000000001</v>
      </c>
      <c r="E161" s="3"/>
      <c r="J161">
        <v>0.3</v>
      </c>
      <c r="K161">
        <v>0.49199999999999999</v>
      </c>
      <c r="L161" s="3"/>
      <c r="M161" s="3"/>
    </row>
    <row r="162" spans="1:13" x14ac:dyDescent="0.25">
      <c r="A162" s="2" t="s">
        <v>165</v>
      </c>
      <c r="B162">
        <v>0.86499999999999999</v>
      </c>
      <c r="C162">
        <v>0.91800000000000004</v>
      </c>
      <c r="D162" s="3">
        <f>MEDIAN(B162)</f>
        <v>0.86499999999999999</v>
      </c>
      <c r="E162" s="3">
        <f>MEDIAN(C162)</f>
        <v>0.91800000000000004</v>
      </c>
      <c r="J162">
        <v>0.78100000000000003</v>
      </c>
      <c r="K162">
        <v>0.83</v>
      </c>
      <c r="L162" s="3">
        <f>MEDIAN(J162)</f>
        <v>0.78100000000000003</v>
      </c>
      <c r="M162" s="3">
        <f>MEDIAN(K162)</f>
        <v>0.83</v>
      </c>
    </row>
    <row r="163" spans="1:13" x14ac:dyDescent="0.25">
      <c r="A163" s="2" t="s">
        <v>166</v>
      </c>
      <c r="B163">
        <v>0.88200000000000001</v>
      </c>
      <c r="C163">
        <v>0.92800000000000005</v>
      </c>
      <c r="D163" s="3">
        <f>MEDIAN(B163:B166)</f>
        <v>0.86499999999999999</v>
      </c>
      <c r="E163" s="3">
        <f>MEDIAN(C163:C166)</f>
        <v>0.92</v>
      </c>
      <c r="J163">
        <v>0.879</v>
      </c>
      <c r="K163">
        <v>0.88900000000000001</v>
      </c>
      <c r="L163" s="3">
        <f>MEDIAN(J163:J166)</f>
        <v>0.78</v>
      </c>
      <c r="M163" s="3">
        <f>MEDIAN(K163:K166)</f>
        <v>0.85699999999999998</v>
      </c>
    </row>
    <row r="164" spans="1:13" x14ac:dyDescent="0.25">
      <c r="A164" s="2" t="s">
        <v>167</v>
      </c>
      <c r="B164">
        <v>0.84799999999999998</v>
      </c>
      <c r="C164">
        <v>0.91200000000000003</v>
      </c>
      <c r="E164" s="3"/>
      <c r="J164">
        <v>0.68100000000000005</v>
      </c>
      <c r="K164">
        <v>0.82499999999999996</v>
      </c>
      <c r="L164" s="3"/>
      <c r="M164" s="3"/>
    </row>
    <row r="165" spans="1:13" x14ac:dyDescent="0.25">
      <c r="A165" s="2" t="s">
        <v>168</v>
      </c>
      <c r="B165">
        <v>0.89700000000000002</v>
      </c>
      <c r="C165">
        <v>0.95199999999999996</v>
      </c>
      <c r="E165" s="3"/>
      <c r="J165">
        <v>0.90700000000000003</v>
      </c>
      <c r="K165">
        <v>0.92400000000000004</v>
      </c>
      <c r="L165" s="3"/>
      <c r="M165" s="3"/>
    </row>
    <row r="166" spans="1:13" x14ac:dyDescent="0.25">
      <c r="A166" s="2" t="s">
        <v>169</v>
      </c>
      <c r="B166">
        <v>0.82199999999999995</v>
      </c>
      <c r="C166">
        <v>0.85199999999999998</v>
      </c>
      <c r="E166" s="3"/>
      <c r="J166">
        <v>0.45900000000000002</v>
      </c>
      <c r="K166">
        <v>0.629</v>
      </c>
      <c r="L166" s="3"/>
      <c r="M166" s="3"/>
    </row>
    <row r="167" spans="1:13" x14ac:dyDescent="0.25">
      <c r="A167" s="2" t="s">
        <v>170</v>
      </c>
      <c r="B167">
        <v>0.89700000000000002</v>
      </c>
      <c r="C167">
        <v>0.95199999999999996</v>
      </c>
      <c r="D167" s="3">
        <f>MEDIAN(B167)</f>
        <v>0.89700000000000002</v>
      </c>
      <c r="E167" s="3">
        <f>MEDIAN(C167)</f>
        <v>0.95199999999999996</v>
      </c>
      <c r="J167">
        <v>0.90700000000000003</v>
      </c>
      <c r="K167">
        <v>0.92400000000000004</v>
      </c>
      <c r="L167" s="3">
        <f>MEDIAN(J167)</f>
        <v>0.90700000000000003</v>
      </c>
      <c r="M167" s="3">
        <f>MEDIAN(K167)</f>
        <v>0.92400000000000004</v>
      </c>
    </row>
    <row r="168" spans="1:13" x14ac:dyDescent="0.25">
      <c r="A168" s="2" t="s">
        <v>171</v>
      </c>
      <c r="B168">
        <v>0.88800000000000001</v>
      </c>
      <c r="C168">
        <v>0.94399999999999995</v>
      </c>
      <c r="D168" s="3">
        <f>MEDIAN(B168)</f>
        <v>0.88800000000000001</v>
      </c>
      <c r="E168" s="3">
        <f>MEDIAN(C168)</f>
        <v>0.94399999999999995</v>
      </c>
      <c r="J168">
        <v>0.87</v>
      </c>
      <c r="K168">
        <v>0.93200000000000005</v>
      </c>
      <c r="L168" s="3">
        <f>MEDIAN(J168)</f>
        <v>0.87</v>
      </c>
      <c r="M168" s="3">
        <f>MEDIAN(K168)</f>
        <v>0.93200000000000005</v>
      </c>
    </row>
    <row r="169" spans="1:13" x14ac:dyDescent="0.25">
      <c r="A169" s="2" t="s">
        <v>172</v>
      </c>
      <c r="B169">
        <v>0.82599999999999996</v>
      </c>
      <c r="C169">
        <v>0.86499999999999999</v>
      </c>
      <c r="D169" s="3">
        <f>MEDIAN(B169:B171)</f>
        <v>0.82599999999999996</v>
      </c>
      <c r="E169" s="3">
        <f>MEDIAN(C169:C171)</f>
        <v>0.86499999999999999</v>
      </c>
      <c r="J169">
        <v>0.58399999999999996</v>
      </c>
      <c r="K169">
        <v>0.67200000000000004</v>
      </c>
      <c r="L169" s="3">
        <f>MEDIAN(J169:J171)</f>
        <v>0.58399999999999996</v>
      </c>
      <c r="M169" s="3">
        <f>MEDIAN(K169:K171)</f>
        <v>0.67200000000000004</v>
      </c>
    </row>
    <row r="170" spans="1:13" x14ac:dyDescent="0.25">
      <c r="A170" s="2" t="s">
        <v>173</v>
      </c>
      <c r="B170">
        <v>0.84899999999999998</v>
      </c>
      <c r="C170">
        <v>0.90800000000000003</v>
      </c>
      <c r="E170" s="3"/>
      <c r="J170">
        <v>0.69799999999999995</v>
      </c>
      <c r="K170">
        <v>0.79400000000000004</v>
      </c>
      <c r="L170" s="3"/>
      <c r="M170" s="3"/>
    </row>
    <row r="171" spans="1:13" x14ac:dyDescent="0.25">
      <c r="A171" s="2" t="s">
        <v>174</v>
      </c>
      <c r="B171">
        <v>0.72399999999999998</v>
      </c>
      <c r="C171">
        <v>0.78400000000000003</v>
      </c>
      <c r="E171" s="3"/>
      <c r="J171">
        <v>0.30599999999999999</v>
      </c>
      <c r="K171">
        <v>0.46700000000000003</v>
      </c>
      <c r="L171" s="3"/>
      <c r="M171" s="3"/>
    </row>
    <row r="172" spans="1:13" x14ac:dyDescent="0.25">
      <c r="A172" s="2" t="s">
        <v>175</v>
      </c>
      <c r="B172">
        <v>0.84399999999999997</v>
      </c>
      <c r="C172">
        <v>0.89400000000000002</v>
      </c>
      <c r="D172" s="3">
        <f>MEDIAN(B172:B173)</f>
        <v>0.84399999999999997</v>
      </c>
      <c r="E172" s="3">
        <f>MEDIAN(C172:C173)</f>
        <v>0.82950000000000002</v>
      </c>
      <c r="J172">
        <v>0.61599999999999999</v>
      </c>
      <c r="K172">
        <v>0.73099999999999998</v>
      </c>
      <c r="L172" s="3">
        <f>MEDIAN(J172:J173)</f>
        <v>0.61599999999999999</v>
      </c>
      <c r="M172" s="3">
        <f>MEDIAN(K172:K173)</f>
        <v>0.61149999999999993</v>
      </c>
    </row>
    <row r="173" spans="1:13" x14ac:dyDescent="0.25">
      <c r="A173" s="2" t="s">
        <v>176</v>
      </c>
      <c r="C173">
        <v>0.76500000000000001</v>
      </c>
      <c r="E173" s="3"/>
      <c r="K173">
        <v>0.49199999999999999</v>
      </c>
      <c r="L173" s="3"/>
      <c r="M173" s="3"/>
    </row>
    <row r="174" spans="1:13" x14ac:dyDescent="0.25">
      <c r="A174" s="2" t="s">
        <v>177</v>
      </c>
      <c r="B174">
        <v>0.84899999999999998</v>
      </c>
      <c r="C174">
        <v>0.91</v>
      </c>
      <c r="D174" s="3">
        <f>MEDIAN(B174:B181)</f>
        <v>0.84299999999999997</v>
      </c>
      <c r="E174" s="3">
        <f>MEDIAN(C174:C181)</f>
        <v>0.89450000000000007</v>
      </c>
      <c r="J174">
        <v>0.69799999999999995</v>
      </c>
      <c r="K174">
        <v>0.79</v>
      </c>
      <c r="L174" s="3">
        <f>MEDIAN(J174:J181)</f>
        <v>0.6359999999999999</v>
      </c>
      <c r="M174" s="3">
        <f>MEDIAN(K174:K181)</f>
        <v>0.74249999999999994</v>
      </c>
    </row>
    <row r="175" spans="1:13" x14ac:dyDescent="0.25">
      <c r="A175" s="2" t="s">
        <v>178</v>
      </c>
      <c r="B175">
        <v>0.79300000000000004</v>
      </c>
      <c r="C175">
        <v>0.81100000000000005</v>
      </c>
      <c r="E175" s="3"/>
      <c r="J175">
        <v>0.48699999999999999</v>
      </c>
      <c r="K175">
        <v>0.56699999999999995</v>
      </c>
      <c r="L175" s="3"/>
      <c r="M175" s="3"/>
    </row>
    <row r="176" spans="1:13" x14ac:dyDescent="0.25">
      <c r="A176" s="2" t="s">
        <v>179</v>
      </c>
      <c r="B176">
        <v>0.83699999999999997</v>
      </c>
      <c r="C176">
        <v>0.88100000000000001</v>
      </c>
      <c r="E176" s="3"/>
      <c r="J176">
        <v>0.57399999999999995</v>
      </c>
      <c r="K176">
        <v>0.69499999999999995</v>
      </c>
      <c r="L176" s="3"/>
      <c r="M176" s="3"/>
    </row>
    <row r="177" spans="1:13" x14ac:dyDescent="0.25">
      <c r="A177" s="2" t="s">
        <v>180</v>
      </c>
      <c r="B177">
        <v>0.71899999999999997</v>
      </c>
      <c r="C177">
        <v>0.77300000000000002</v>
      </c>
      <c r="E177" s="3"/>
      <c r="J177">
        <v>0.30599999999999999</v>
      </c>
      <c r="K177">
        <v>0.52700000000000002</v>
      </c>
      <c r="L177" s="3"/>
      <c r="M177" s="3"/>
    </row>
    <row r="178" spans="1:13" x14ac:dyDescent="0.25">
      <c r="A178" s="2" t="s">
        <v>181</v>
      </c>
      <c r="B178">
        <v>0.84899999999999998</v>
      </c>
      <c r="C178">
        <v>0.90800000000000003</v>
      </c>
      <c r="E178" s="3"/>
      <c r="J178">
        <v>0.69799999999999995</v>
      </c>
      <c r="K178">
        <v>0.79400000000000004</v>
      </c>
      <c r="L178" s="3"/>
      <c r="M178" s="3"/>
    </row>
    <row r="179" spans="1:13" x14ac:dyDescent="0.25">
      <c r="A179" s="2" t="s">
        <v>182</v>
      </c>
      <c r="B179">
        <v>0.86699999999999999</v>
      </c>
      <c r="C179">
        <v>0.91600000000000004</v>
      </c>
      <c r="E179" s="3"/>
      <c r="J179">
        <v>0.77200000000000002</v>
      </c>
      <c r="K179">
        <v>0.83499999999999996</v>
      </c>
      <c r="L179" s="3"/>
      <c r="M179" s="3"/>
    </row>
    <row r="180" spans="1:13" x14ac:dyDescent="0.25">
      <c r="A180" s="2" t="s">
        <v>183</v>
      </c>
      <c r="B180">
        <v>0.86699999999999999</v>
      </c>
      <c r="C180">
        <v>0.91600000000000004</v>
      </c>
      <c r="E180" s="3"/>
      <c r="J180">
        <v>0.77200000000000002</v>
      </c>
      <c r="K180">
        <v>0.82199999999999995</v>
      </c>
      <c r="L180" s="3"/>
      <c r="M180" s="3"/>
    </row>
    <row r="181" spans="1:13" x14ac:dyDescent="0.25">
      <c r="A181" s="2" t="s">
        <v>184</v>
      </c>
      <c r="B181">
        <v>0.82099999999999995</v>
      </c>
      <c r="C181">
        <v>0.86499999999999999</v>
      </c>
      <c r="E181" s="3"/>
      <c r="J181">
        <v>0.51500000000000001</v>
      </c>
      <c r="K181">
        <v>0.67200000000000004</v>
      </c>
      <c r="L181" s="3"/>
      <c r="M181" s="3"/>
    </row>
    <row r="182" spans="1:13" x14ac:dyDescent="0.25">
      <c r="A182" s="2" t="s">
        <v>185</v>
      </c>
      <c r="B182">
        <v>0.84599999999999997</v>
      </c>
      <c r="C182">
        <v>0.89400000000000002</v>
      </c>
      <c r="D182" s="3">
        <f>MEDIAN(B182:B195)</f>
        <v>0.83699999999999997</v>
      </c>
      <c r="E182" s="3">
        <f>MEDIAN(C182:C195)</f>
        <v>0.89050000000000007</v>
      </c>
      <c r="J182">
        <v>0.68799999999999994</v>
      </c>
      <c r="K182">
        <v>0.73099999999999998</v>
      </c>
      <c r="L182" s="3">
        <f>MEDIAN(J182:J195)</f>
        <v>0.56699999999999995</v>
      </c>
      <c r="M182" s="3">
        <f>MEDIAN(K182:K195)</f>
        <v>0.73099999999999998</v>
      </c>
    </row>
    <row r="183" spans="1:13" x14ac:dyDescent="0.25">
      <c r="A183" s="2" t="s">
        <v>186</v>
      </c>
      <c r="B183">
        <v>0.82799999999999996</v>
      </c>
      <c r="C183">
        <v>0.85599999999999998</v>
      </c>
      <c r="E183" s="3"/>
      <c r="J183">
        <v>0.53900000000000003</v>
      </c>
      <c r="K183">
        <v>0.61799999999999999</v>
      </c>
      <c r="L183" s="3"/>
      <c r="M183" s="3"/>
    </row>
    <row r="184" spans="1:13" x14ac:dyDescent="0.25">
      <c r="A184" s="2" t="s">
        <v>187</v>
      </c>
      <c r="B184">
        <v>0.83699999999999997</v>
      </c>
      <c r="C184">
        <v>0.88700000000000001</v>
      </c>
      <c r="E184" s="3"/>
      <c r="J184">
        <v>0.56699999999999995</v>
      </c>
      <c r="K184">
        <v>0.77300000000000002</v>
      </c>
      <c r="L184" s="3"/>
      <c r="M184" s="3"/>
    </row>
    <row r="185" spans="1:13" x14ac:dyDescent="0.25">
      <c r="A185" s="2" t="s">
        <v>188</v>
      </c>
      <c r="B185">
        <v>0.86299999999999999</v>
      </c>
      <c r="C185">
        <v>0.91500000000000004</v>
      </c>
      <c r="E185" s="3"/>
      <c r="J185">
        <v>0.77600000000000002</v>
      </c>
      <c r="K185">
        <v>0.82099999999999995</v>
      </c>
      <c r="L185" s="3"/>
      <c r="M185" s="3"/>
    </row>
    <row r="186" spans="1:13" x14ac:dyDescent="0.25">
      <c r="A186" s="2" t="s">
        <v>189</v>
      </c>
      <c r="B186">
        <v>0.84399999999999997</v>
      </c>
      <c r="C186">
        <v>0.89400000000000002</v>
      </c>
      <c r="E186" s="3"/>
      <c r="J186">
        <v>0.61599999999999999</v>
      </c>
      <c r="K186">
        <v>0.73099999999999998</v>
      </c>
      <c r="L186" s="3"/>
      <c r="M186" s="3"/>
    </row>
    <row r="187" spans="1:13" x14ac:dyDescent="0.25">
      <c r="A187" s="2" t="s">
        <v>190</v>
      </c>
      <c r="B187">
        <v>0.83699999999999997</v>
      </c>
      <c r="C187">
        <v>0.89500000000000002</v>
      </c>
      <c r="E187" s="3"/>
      <c r="J187">
        <v>0.56699999999999995</v>
      </c>
      <c r="K187">
        <v>0.75</v>
      </c>
      <c r="L187" s="3"/>
      <c r="M187" s="3"/>
    </row>
    <row r="188" spans="1:13" x14ac:dyDescent="0.25">
      <c r="A188" s="2" t="s">
        <v>191</v>
      </c>
      <c r="B188">
        <v>0.86299999999999999</v>
      </c>
      <c r="C188">
        <v>0.91600000000000004</v>
      </c>
      <c r="E188" s="3"/>
      <c r="J188">
        <v>0.76900000000000002</v>
      </c>
      <c r="K188">
        <v>0.81</v>
      </c>
      <c r="L188" s="3"/>
      <c r="M188" s="3"/>
    </row>
    <row r="189" spans="1:13" x14ac:dyDescent="0.25">
      <c r="A189" s="2" t="s">
        <v>192</v>
      </c>
      <c r="B189">
        <v>0.84899999999999998</v>
      </c>
      <c r="C189">
        <v>0.90800000000000003</v>
      </c>
      <c r="E189" s="3"/>
      <c r="J189">
        <v>0.69799999999999995</v>
      </c>
      <c r="K189">
        <v>0.79400000000000004</v>
      </c>
      <c r="L189" s="3"/>
      <c r="M189" s="3"/>
    </row>
    <row r="190" spans="1:13" x14ac:dyDescent="0.25">
      <c r="A190" s="2" t="s">
        <v>193</v>
      </c>
      <c r="B190">
        <v>0.77700000000000002</v>
      </c>
      <c r="C190">
        <v>0.81100000000000005</v>
      </c>
      <c r="E190" s="3"/>
      <c r="J190">
        <v>0.47799999999999998</v>
      </c>
      <c r="K190">
        <v>0.65400000000000003</v>
      </c>
      <c r="L190" s="3"/>
      <c r="M190" s="3"/>
    </row>
    <row r="191" spans="1:13" x14ac:dyDescent="0.25">
      <c r="A191" s="2" t="s">
        <v>194</v>
      </c>
      <c r="B191">
        <v>0.73399999999999999</v>
      </c>
      <c r="C191">
        <v>0.81200000000000006</v>
      </c>
      <c r="E191" s="3"/>
      <c r="J191">
        <v>0.35499999999999998</v>
      </c>
      <c r="K191">
        <v>0.55700000000000005</v>
      </c>
      <c r="L191" s="3"/>
      <c r="M191" s="3"/>
    </row>
    <row r="192" spans="1:13" x14ac:dyDescent="0.25">
      <c r="A192" s="2" t="s">
        <v>195</v>
      </c>
      <c r="B192">
        <v>0.84799999999999998</v>
      </c>
      <c r="C192">
        <v>0.91200000000000003</v>
      </c>
      <c r="E192" s="3"/>
      <c r="J192">
        <v>0.68100000000000005</v>
      </c>
      <c r="K192">
        <v>0.82499999999999996</v>
      </c>
      <c r="L192" s="3"/>
      <c r="M192" s="3"/>
    </row>
    <row r="193" spans="1:13" x14ac:dyDescent="0.25">
      <c r="A193" s="2" t="s">
        <v>196</v>
      </c>
      <c r="B193">
        <v>0.71499999999999997</v>
      </c>
      <c r="C193">
        <v>0.76500000000000001</v>
      </c>
      <c r="E193" s="3"/>
      <c r="J193">
        <v>0.29899999999999999</v>
      </c>
      <c r="K193">
        <v>0.49199999999999999</v>
      </c>
      <c r="L193" s="3"/>
      <c r="M193" s="3"/>
    </row>
    <row r="194" spans="1:13" x14ac:dyDescent="0.25">
      <c r="A194" s="2" t="s">
        <v>197</v>
      </c>
      <c r="B194">
        <v>0.71499999999999997</v>
      </c>
      <c r="C194">
        <v>0.76900000000000002</v>
      </c>
      <c r="E194" s="3"/>
      <c r="J194">
        <v>0.29899999999999999</v>
      </c>
      <c r="K194">
        <v>0.47599999999999998</v>
      </c>
      <c r="L194" s="3"/>
      <c r="M194" s="3"/>
    </row>
    <row r="195" spans="1:13" x14ac:dyDescent="0.25">
      <c r="A195" s="2" t="s">
        <v>198</v>
      </c>
      <c r="B195">
        <v>0.77700000000000002</v>
      </c>
      <c r="C195">
        <v>0.81100000000000005</v>
      </c>
      <c r="E195" s="3"/>
      <c r="J195">
        <v>0.47799999999999998</v>
      </c>
      <c r="K195">
        <v>0.65400000000000003</v>
      </c>
      <c r="L195" s="3"/>
      <c r="M195" s="3"/>
    </row>
    <row r="196" spans="1:13" x14ac:dyDescent="0.25">
      <c r="A196" s="2" t="s">
        <v>199</v>
      </c>
      <c r="B196">
        <v>0.88600000000000001</v>
      </c>
      <c r="C196">
        <v>0.93100000000000005</v>
      </c>
      <c r="D196" s="3">
        <f>MEDIAN(B196:B197)</f>
        <v>0.871</v>
      </c>
      <c r="E196" s="3">
        <f>MEDIAN(C196:C197)</f>
        <v>0.92300000000000004</v>
      </c>
      <c r="J196">
        <v>0.89500000000000002</v>
      </c>
      <c r="K196">
        <v>0.88</v>
      </c>
      <c r="L196" s="3">
        <f>MEDIAN(J196:J197)</f>
        <v>0.83899999999999997</v>
      </c>
      <c r="M196" s="3">
        <f>MEDIAN(K196:K197)</f>
        <v>0.85050000000000003</v>
      </c>
    </row>
    <row r="197" spans="1:13" x14ac:dyDescent="0.25">
      <c r="A197" s="2" t="s">
        <v>200</v>
      </c>
      <c r="B197">
        <v>0.85599999999999998</v>
      </c>
      <c r="C197">
        <v>0.91500000000000004</v>
      </c>
      <c r="E197" s="3"/>
      <c r="J197">
        <v>0.78300000000000003</v>
      </c>
      <c r="K197">
        <v>0.82099999999999995</v>
      </c>
      <c r="L197" s="3"/>
      <c r="M197" s="3"/>
    </row>
    <row r="198" spans="1:13" x14ac:dyDescent="0.25">
      <c r="A198" s="2" t="s">
        <v>201</v>
      </c>
      <c r="B198">
        <v>0.84799999999999998</v>
      </c>
      <c r="C198">
        <v>0.91200000000000003</v>
      </c>
      <c r="D198" s="3">
        <f>MEDIAN(B198:B202)</f>
        <v>0.84799999999999998</v>
      </c>
      <c r="E198" s="3">
        <f>MEDIAN(C198:C202)</f>
        <v>0.91200000000000003</v>
      </c>
      <c r="J198">
        <v>0.68100000000000005</v>
      </c>
      <c r="K198">
        <v>0.82499999999999996</v>
      </c>
      <c r="L198" s="3">
        <f>MEDIAN(J198:J202)</f>
        <v>0.68100000000000005</v>
      </c>
      <c r="M198" s="3">
        <f>MEDIAN(K198:K202)</f>
        <v>0.82199999999999995</v>
      </c>
    </row>
    <row r="199" spans="1:13" x14ac:dyDescent="0.25">
      <c r="A199" s="2" t="s">
        <v>202</v>
      </c>
      <c r="B199">
        <v>0.86199999999999999</v>
      </c>
      <c r="C199">
        <v>0.91600000000000004</v>
      </c>
      <c r="E199" s="3"/>
      <c r="J199">
        <v>0.71899999999999997</v>
      </c>
      <c r="K199">
        <v>0.82199999999999995</v>
      </c>
      <c r="L199" s="3"/>
      <c r="M199" s="3"/>
    </row>
    <row r="200" spans="1:13" x14ac:dyDescent="0.25">
      <c r="A200" s="2" t="s">
        <v>203</v>
      </c>
      <c r="B200">
        <v>0.85699999999999998</v>
      </c>
      <c r="C200">
        <v>0.91600000000000004</v>
      </c>
      <c r="E200" s="3"/>
      <c r="J200">
        <v>0.77900000000000003</v>
      </c>
      <c r="K200">
        <v>0.83499999999999996</v>
      </c>
      <c r="L200" s="3"/>
      <c r="M200" s="3"/>
    </row>
    <row r="201" spans="1:13" x14ac:dyDescent="0.25">
      <c r="A201" s="2" t="s">
        <v>204</v>
      </c>
      <c r="B201">
        <v>0.79300000000000004</v>
      </c>
      <c r="C201">
        <v>0.83799999999999997</v>
      </c>
      <c r="E201" s="3"/>
      <c r="J201">
        <v>0.48699999999999999</v>
      </c>
      <c r="K201">
        <v>0.60599999999999998</v>
      </c>
      <c r="L201" s="3"/>
      <c r="M201" s="3"/>
    </row>
    <row r="202" spans="1:13" x14ac:dyDescent="0.25">
      <c r="A202" s="2" t="s">
        <v>205</v>
      </c>
      <c r="B202">
        <v>0.72599999999999998</v>
      </c>
      <c r="C202">
        <v>0.77400000000000002</v>
      </c>
      <c r="E202" s="3"/>
      <c r="J202">
        <v>0.34499999999999997</v>
      </c>
      <c r="K202">
        <v>0.51800000000000002</v>
      </c>
      <c r="L202" s="3"/>
      <c r="M202" s="3"/>
    </row>
    <row r="203" spans="1:13" x14ac:dyDescent="0.25">
      <c r="A203" s="2" t="s">
        <v>206</v>
      </c>
      <c r="B203">
        <v>0.83699999999999997</v>
      </c>
      <c r="C203">
        <v>0.89500000000000002</v>
      </c>
      <c r="D203" s="3">
        <f>MEDIAN(B203:B205)</f>
        <v>0.88600000000000001</v>
      </c>
      <c r="E203" s="3">
        <f>MEDIAN(C203:C205)</f>
        <v>0.93500000000000005</v>
      </c>
      <c r="J203">
        <v>0.56699999999999995</v>
      </c>
      <c r="K203">
        <v>0.75</v>
      </c>
      <c r="L203" s="3">
        <f>MEDIAN(J203:J205)</f>
        <v>0.88100000000000001</v>
      </c>
      <c r="M203" s="3">
        <f>MEDIAN(K203:K205)</f>
        <v>0.91700000000000004</v>
      </c>
    </row>
    <row r="204" spans="1:13" x14ac:dyDescent="0.25">
      <c r="A204" s="2" t="s">
        <v>207</v>
      </c>
      <c r="B204">
        <v>0.88600000000000001</v>
      </c>
      <c r="C204">
        <v>0.93500000000000005</v>
      </c>
      <c r="E204" s="3"/>
      <c r="J204">
        <v>0.89500000000000002</v>
      </c>
      <c r="K204">
        <v>0.91700000000000004</v>
      </c>
      <c r="L204" s="3"/>
      <c r="M204" s="3"/>
    </row>
    <row r="205" spans="1:13" x14ac:dyDescent="0.25">
      <c r="A205" s="2" t="s">
        <v>208</v>
      </c>
      <c r="B205">
        <v>0.89</v>
      </c>
      <c r="C205">
        <v>0.93700000000000006</v>
      </c>
      <c r="E205" s="3"/>
      <c r="J205">
        <v>0.88100000000000001</v>
      </c>
      <c r="K205">
        <v>0.93799999999999994</v>
      </c>
      <c r="L205" s="3"/>
      <c r="M205" s="3"/>
    </row>
    <row r="206" spans="1:13" x14ac:dyDescent="0.25">
      <c r="A206" s="2" t="s">
        <v>209</v>
      </c>
      <c r="B206">
        <v>0.84399999999999997</v>
      </c>
      <c r="C206">
        <v>0.89400000000000002</v>
      </c>
      <c r="D206" s="3">
        <f>MEDIAN(B206:B207)</f>
        <v>0.83199999999999996</v>
      </c>
      <c r="E206" s="3">
        <f>MEDIAN(C206:C207)</f>
        <v>0.875</v>
      </c>
      <c r="J206">
        <v>0.61599999999999999</v>
      </c>
      <c r="K206">
        <v>0.73099999999999998</v>
      </c>
      <c r="L206" s="3">
        <f>MEDIAN(J206:J207)</f>
        <v>0.5645</v>
      </c>
      <c r="M206" s="3">
        <f>MEDIAN(K206:K207)</f>
        <v>0.67449999999999999</v>
      </c>
    </row>
    <row r="207" spans="1:13" x14ac:dyDescent="0.25">
      <c r="A207" s="2" t="s">
        <v>210</v>
      </c>
      <c r="B207">
        <v>0.82</v>
      </c>
      <c r="C207">
        <v>0.85599999999999998</v>
      </c>
      <c r="E207" s="3"/>
      <c r="J207">
        <v>0.51300000000000001</v>
      </c>
      <c r="K207">
        <v>0.61799999999999999</v>
      </c>
      <c r="L207" s="3"/>
      <c r="M207" s="3"/>
    </row>
    <row r="208" spans="1:13" x14ac:dyDescent="0.25">
      <c r="A208" s="2" t="s">
        <v>211</v>
      </c>
      <c r="B208">
        <v>0.88600000000000001</v>
      </c>
      <c r="C208">
        <v>0.93100000000000005</v>
      </c>
      <c r="D208" s="3">
        <f>MEDIAN(B208:B209)</f>
        <v>0.88600000000000001</v>
      </c>
      <c r="E208" s="3">
        <f>MEDIAN(C208:C209)</f>
        <v>0.84699999999999998</v>
      </c>
      <c r="J208">
        <v>0.89500000000000002</v>
      </c>
      <c r="K208">
        <v>0.88</v>
      </c>
      <c r="L208" s="3">
        <f>MEDIAN(J208:J209)</f>
        <v>0.89500000000000002</v>
      </c>
      <c r="M208" s="3">
        <f>MEDIAN(K208:K209)</f>
        <v>0.65900000000000003</v>
      </c>
    </row>
    <row r="209" spans="1:13" x14ac:dyDescent="0.25">
      <c r="A209" s="2" t="s">
        <v>212</v>
      </c>
      <c r="C209">
        <v>0.76300000000000001</v>
      </c>
      <c r="E209" s="3"/>
      <c r="K209">
        <v>0.438</v>
      </c>
      <c r="L209" s="3"/>
      <c r="M209" s="3"/>
    </row>
    <row r="210" spans="1:13" x14ac:dyDescent="0.25">
      <c r="A210" s="2" t="s">
        <v>213</v>
      </c>
      <c r="B210">
        <v>0.78600000000000003</v>
      </c>
      <c r="C210">
        <v>0.81100000000000005</v>
      </c>
      <c r="D210" s="3">
        <f>MEDIAN(B210:B227)</f>
        <v>0.72599999999999998</v>
      </c>
      <c r="E210" s="3">
        <f>MEDIAN(C210:C227)</f>
        <v>0.78400000000000003</v>
      </c>
      <c r="J210">
        <v>0.439</v>
      </c>
      <c r="K210">
        <v>0.56699999999999995</v>
      </c>
      <c r="L210" s="3">
        <f>MEDIAN(J210:J227)</f>
        <v>0.34499999999999997</v>
      </c>
      <c r="M210" s="3">
        <f>MEDIAN(K210:K227)</f>
        <v>0.52700000000000002</v>
      </c>
    </row>
    <row r="211" spans="1:13" x14ac:dyDescent="0.25">
      <c r="A211" s="2" t="s">
        <v>214</v>
      </c>
      <c r="B211">
        <v>0.70899999999999996</v>
      </c>
      <c r="C211">
        <v>0.76700000000000002</v>
      </c>
      <c r="E211" s="3"/>
      <c r="J211">
        <v>0.3</v>
      </c>
      <c r="K211">
        <v>0.46700000000000003</v>
      </c>
      <c r="L211" s="3"/>
      <c r="M211" s="3"/>
    </row>
    <row r="212" spans="1:13" x14ac:dyDescent="0.25">
      <c r="A212" s="2" t="s">
        <v>215</v>
      </c>
      <c r="C212">
        <v>0.81200000000000006</v>
      </c>
      <c r="E212" s="3"/>
      <c r="K212">
        <v>0.55700000000000005</v>
      </c>
      <c r="L212" s="3"/>
      <c r="M212" s="3"/>
    </row>
    <row r="213" spans="1:13" x14ac:dyDescent="0.25">
      <c r="A213" s="2" t="s">
        <v>216</v>
      </c>
      <c r="C213">
        <v>0.91</v>
      </c>
      <c r="E213" s="3"/>
      <c r="K213">
        <v>0.79</v>
      </c>
      <c r="L213" s="3"/>
      <c r="M213" s="3"/>
    </row>
    <row r="214" spans="1:13" x14ac:dyDescent="0.25">
      <c r="A214" s="2" t="s">
        <v>217</v>
      </c>
      <c r="B214">
        <v>0.72599999999999998</v>
      </c>
      <c r="C214">
        <v>0.77300000000000002</v>
      </c>
      <c r="E214" s="3"/>
      <c r="J214">
        <v>0.34499999999999997</v>
      </c>
      <c r="K214">
        <v>0.52700000000000002</v>
      </c>
      <c r="L214" s="3"/>
      <c r="M214" s="3"/>
    </row>
    <row r="215" spans="1:13" x14ac:dyDescent="0.25">
      <c r="A215" s="2" t="s">
        <v>218</v>
      </c>
      <c r="B215">
        <v>0.70699999999999996</v>
      </c>
      <c r="C215">
        <v>0.76300000000000001</v>
      </c>
      <c r="E215" s="3"/>
      <c r="J215">
        <v>0.23300000000000001</v>
      </c>
      <c r="K215">
        <v>0.438</v>
      </c>
      <c r="L215" s="3"/>
      <c r="M215" s="3"/>
    </row>
    <row r="216" spans="1:13" x14ac:dyDescent="0.25">
      <c r="A216" s="2" t="s">
        <v>219</v>
      </c>
      <c r="B216">
        <v>0.78800000000000003</v>
      </c>
      <c r="C216">
        <v>0.81200000000000006</v>
      </c>
      <c r="E216" s="3"/>
      <c r="J216">
        <v>0.42399999999999999</v>
      </c>
      <c r="K216">
        <v>0.55700000000000005</v>
      </c>
      <c r="L216" s="3"/>
      <c r="M216" s="3"/>
    </row>
    <row r="217" spans="1:13" x14ac:dyDescent="0.25">
      <c r="A217" s="2" t="s">
        <v>220</v>
      </c>
      <c r="B217">
        <v>0.73399999999999999</v>
      </c>
      <c r="C217">
        <v>0.81100000000000005</v>
      </c>
      <c r="E217" s="3"/>
      <c r="J217">
        <v>0.35499999999999998</v>
      </c>
      <c r="K217">
        <v>0.56699999999999995</v>
      </c>
      <c r="L217" s="3"/>
      <c r="M217" s="3"/>
    </row>
    <row r="218" spans="1:13" x14ac:dyDescent="0.25">
      <c r="A218" s="2" t="s">
        <v>221</v>
      </c>
      <c r="B218">
        <v>0.80500000000000005</v>
      </c>
      <c r="C218">
        <v>0.83799999999999997</v>
      </c>
      <c r="E218" s="3"/>
      <c r="J218">
        <v>0.46200000000000002</v>
      </c>
      <c r="K218">
        <v>0.60599999999999998</v>
      </c>
      <c r="L218" s="3"/>
      <c r="M218" s="3"/>
    </row>
    <row r="219" spans="1:13" x14ac:dyDescent="0.25">
      <c r="A219" s="2" t="s">
        <v>222</v>
      </c>
      <c r="B219">
        <v>0.82</v>
      </c>
      <c r="C219">
        <v>0.85599999999999998</v>
      </c>
      <c r="E219" s="3"/>
      <c r="J219">
        <v>0.51300000000000001</v>
      </c>
      <c r="K219">
        <v>0.61799999999999999</v>
      </c>
      <c r="L219" s="3"/>
      <c r="M219" s="3"/>
    </row>
    <row r="220" spans="1:13" x14ac:dyDescent="0.25">
      <c r="A220" s="2" t="s">
        <v>223</v>
      </c>
      <c r="B220">
        <v>0.82</v>
      </c>
      <c r="C220">
        <v>0.85199999999999998</v>
      </c>
      <c r="E220" s="3"/>
      <c r="J220">
        <v>0.51300000000000001</v>
      </c>
      <c r="K220">
        <v>0.629</v>
      </c>
      <c r="L220" s="3"/>
      <c r="M220" s="3"/>
    </row>
    <row r="221" spans="1:13" x14ac:dyDescent="0.25">
      <c r="A221" s="2" t="s">
        <v>224</v>
      </c>
      <c r="C221">
        <v>0.77300000000000002</v>
      </c>
      <c r="E221" s="3"/>
      <c r="K221">
        <v>0.52700000000000002</v>
      </c>
      <c r="L221" s="3"/>
      <c r="M221" s="3"/>
    </row>
    <row r="222" spans="1:13" x14ac:dyDescent="0.25">
      <c r="A222" s="2" t="s">
        <v>225</v>
      </c>
      <c r="B222">
        <v>0.71499999999999997</v>
      </c>
      <c r="C222">
        <v>0.76500000000000001</v>
      </c>
      <c r="E222" s="3"/>
      <c r="J222">
        <v>0.29899999999999999</v>
      </c>
      <c r="K222">
        <v>0.49199999999999999</v>
      </c>
      <c r="L222" s="3"/>
      <c r="M222" s="3"/>
    </row>
    <row r="223" spans="1:13" x14ac:dyDescent="0.25">
      <c r="A223" s="2" t="s">
        <v>226</v>
      </c>
      <c r="B223">
        <v>0.72</v>
      </c>
      <c r="C223">
        <v>0.78400000000000003</v>
      </c>
      <c r="E223" s="3"/>
      <c r="J223">
        <v>0.32700000000000001</v>
      </c>
      <c r="K223">
        <v>0.46700000000000003</v>
      </c>
      <c r="L223" s="3"/>
      <c r="M223" s="3"/>
    </row>
    <row r="224" spans="1:13" x14ac:dyDescent="0.25">
      <c r="A224" s="2" t="s">
        <v>227</v>
      </c>
      <c r="B224">
        <v>0.70699999999999996</v>
      </c>
      <c r="C224">
        <v>0.76300000000000001</v>
      </c>
      <c r="E224" s="3"/>
      <c r="J224">
        <v>0.23300000000000001</v>
      </c>
      <c r="K224">
        <v>0.438</v>
      </c>
      <c r="L224" s="3"/>
      <c r="M224" s="3"/>
    </row>
    <row r="225" spans="1:13" x14ac:dyDescent="0.25">
      <c r="A225" s="2" t="s">
        <v>228</v>
      </c>
      <c r="B225">
        <v>0.72</v>
      </c>
      <c r="C225">
        <v>0.78400000000000003</v>
      </c>
      <c r="E225" s="3"/>
      <c r="J225">
        <v>0.32700000000000001</v>
      </c>
      <c r="K225">
        <v>0.46700000000000003</v>
      </c>
      <c r="L225" s="3"/>
      <c r="M225" s="3"/>
    </row>
    <row r="226" spans="1:13" x14ac:dyDescent="0.25">
      <c r="A226" s="2" t="s">
        <v>229</v>
      </c>
      <c r="B226">
        <v>0.73399999999999999</v>
      </c>
      <c r="C226">
        <v>0.77300000000000002</v>
      </c>
      <c r="E226" s="3"/>
      <c r="J226">
        <v>0.35499999999999998</v>
      </c>
      <c r="K226">
        <v>0.52700000000000002</v>
      </c>
      <c r="L226" s="3"/>
      <c r="M226" s="3"/>
    </row>
    <row r="227" spans="1:13" x14ac:dyDescent="0.25">
      <c r="A227" s="2" t="s">
        <v>230</v>
      </c>
      <c r="B227">
        <v>0.70699999999999996</v>
      </c>
      <c r="C227">
        <v>0.76300000000000001</v>
      </c>
      <c r="E227" s="3"/>
      <c r="J227">
        <v>0.23300000000000001</v>
      </c>
      <c r="K227">
        <v>0.438</v>
      </c>
      <c r="L227" s="3"/>
      <c r="M227" s="3"/>
    </row>
    <row r="228" spans="1:13" x14ac:dyDescent="0.25">
      <c r="A228" s="2" t="s">
        <v>231</v>
      </c>
      <c r="B228">
        <v>0.89700000000000002</v>
      </c>
      <c r="C228">
        <v>0.95199999999999996</v>
      </c>
      <c r="D228" s="3">
        <f>MEDIAN(B228:B229)</f>
        <v>0.89250000000000007</v>
      </c>
      <c r="E228" s="3">
        <f>MEDIAN(C228:C229)</f>
        <v>0.9464999999999999</v>
      </c>
      <c r="J228">
        <v>0.90700000000000003</v>
      </c>
      <c r="K228">
        <v>0.92400000000000004</v>
      </c>
      <c r="L228" s="3">
        <f>MEDIAN(J228:J229)</f>
        <v>0.90149999999999997</v>
      </c>
      <c r="M228" s="3">
        <f>MEDIAN(K228:K229)</f>
        <v>0.92349999999999999</v>
      </c>
    </row>
    <row r="229" spans="1:13" x14ac:dyDescent="0.25">
      <c r="A229" s="2" t="s">
        <v>232</v>
      </c>
      <c r="B229">
        <v>0.88800000000000001</v>
      </c>
      <c r="C229">
        <v>0.94099999999999995</v>
      </c>
      <c r="E229" s="3"/>
      <c r="J229">
        <v>0.89600000000000002</v>
      </c>
      <c r="K229">
        <v>0.92300000000000004</v>
      </c>
      <c r="L229" s="3"/>
      <c r="M229" s="3"/>
    </row>
    <row r="230" spans="1:13" x14ac:dyDescent="0.25">
      <c r="A230" s="2" t="s">
        <v>233</v>
      </c>
      <c r="B230">
        <v>0.82799999999999996</v>
      </c>
      <c r="C230">
        <v>0.86499999999999999</v>
      </c>
      <c r="D230" s="3">
        <f>MEDIAN(B230:B243)</f>
        <v>0.82199999999999995</v>
      </c>
      <c r="E230" s="3">
        <f>MEDIAN(C230:C243)</f>
        <v>0.86050000000000004</v>
      </c>
      <c r="J230">
        <v>0.53900000000000003</v>
      </c>
      <c r="K230">
        <v>0.67200000000000004</v>
      </c>
      <c r="L230" s="3">
        <f>MEDIAN(J230:J243)</f>
        <v>0.47799999999999998</v>
      </c>
      <c r="M230" s="3">
        <f>MEDIAN(K230:K243)</f>
        <v>0.66300000000000003</v>
      </c>
    </row>
    <row r="231" spans="1:13" x14ac:dyDescent="0.25">
      <c r="A231" s="2" t="s">
        <v>234</v>
      </c>
      <c r="B231">
        <v>0.80500000000000005</v>
      </c>
      <c r="C231">
        <v>0.85199999999999998</v>
      </c>
      <c r="E231" s="3"/>
      <c r="J231">
        <v>0.46200000000000002</v>
      </c>
      <c r="K231">
        <v>0.629</v>
      </c>
      <c r="L231" s="3"/>
      <c r="M231" s="3"/>
    </row>
    <row r="232" spans="1:13" x14ac:dyDescent="0.25">
      <c r="A232" s="2" t="s">
        <v>235</v>
      </c>
      <c r="B232">
        <v>0.77700000000000002</v>
      </c>
      <c r="C232">
        <v>0.81100000000000005</v>
      </c>
      <c r="E232" s="3"/>
      <c r="J232">
        <v>0.47799999999999998</v>
      </c>
      <c r="K232">
        <v>0.65400000000000003</v>
      </c>
      <c r="L232" s="3"/>
      <c r="M232" s="3"/>
    </row>
    <row r="233" spans="1:13" x14ac:dyDescent="0.25">
      <c r="A233" s="2" t="s">
        <v>236</v>
      </c>
      <c r="B233">
        <v>0.83699999999999997</v>
      </c>
      <c r="C233">
        <v>0.88700000000000001</v>
      </c>
      <c r="E233" s="3"/>
      <c r="J233">
        <v>0.56699999999999995</v>
      </c>
      <c r="K233">
        <v>0.77300000000000002</v>
      </c>
      <c r="L233" s="3"/>
      <c r="M233" s="3"/>
    </row>
    <row r="234" spans="1:13" x14ac:dyDescent="0.25">
      <c r="A234" s="2" t="s">
        <v>237</v>
      </c>
      <c r="B234">
        <v>0.82199999999999995</v>
      </c>
      <c r="C234">
        <v>0.85599999999999998</v>
      </c>
      <c r="E234" s="3"/>
      <c r="J234">
        <v>0.45900000000000002</v>
      </c>
      <c r="K234">
        <v>0.61799999999999999</v>
      </c>
      <c r="L234" s="3"/>
      <c r="M234" s="3"/>
    </row>
    <row r="235" spans="1:13" x14ac:dyDescent="0.25">
      <c r="A235" s="2" t="s">
        <v>238</v>
      </c>
      <c r="B235">
        <v>0.85699999999999998</v>
      </c>
      <c r="C235">
        <v>0.91600000000000004</v>
      </c>
      <c r="E235" s="3"/>
      <c r="J235">
        <v>0.77900000000000003</v>
      </c>
      <c r="K235">
        <v>0.83499999999999996</v>
      </c>
      <c r="L235" s="3"/>
      <c r="M235" s="3"/>
    </row>
    <row r="236" spans="1:13" x14ac:dyDescent="0.25">
      <c r="A236" s="2" t="s">
        <v>239</v>
      </c>
      <c r="B236">
        <v>0.84899999999999998</v>
      </c>
      <c r="C236">
        <v>0.90800000000000003</v>
      </c>
      <c r="E236" s="3"/>
      <c r="J236">
        <v>0.69799999999999995</v>
      </c>
      <c r="K236">
        <v>0.79400000000000004</v>
      </c>
      <c r="L236" s="3"/>
      <c r="M236" s="3"/>
    </row>
    <row r="237" spans="1:13" x14ac:dyDescent="0.25">
      <c r="A237" s="2" t="s">
        <v>240</v>
      </c>
      <c r="C237">
        <v>0.89500000000000002</v>
      </c>
      <c r="E237" s="3"/>
      <c r="K237">
        <v>0.75</v>
      </c>
      <c r="L237" s="3"/>
      <c r="M237" s="3"/>
    </row>
    <row r="238" spans="1:13" x14ac:dyDescent="0.25">
      <c r="A238" s="2" t="s">
        <v>241</v>
      </c>
      <c r="B238">
        <v>0.748</v>
      </c>
      <c r="C238">
        <v>0.84399999999999997</v>
      </c>
      <c r="E238" s="3"/>
      <c r="J238">
        <v>0.41399999999999998</v>
      </c>
      <c r="K238">
        <v>0.59499999999999997</v>
      </c>
      <c r="L238" s="3"/>
      <c r="M238" s="3"/>
    </row>
    <row r="239" spans="1:13" x14ac:dyDescent="0.25">
      <c r="A239" s="2" t="s">
        <v>242</v>
      </c>
      <c r="B239">
        <v>0.85699999999999998</v>
      </c>
      <c r="C239">
        <v>0.91200000000000003</v>
      </c>
      <c r="E239" s="3"/>
      <c r="J239">
        <v>0.77900000000000003</v>
      </c>
      <c r="K239">
        <v>0.79200000000000004</v>
      </c>
      <c r="L239" s="3"/>
      <c r="M239" s="3"/>
    </row>
    <row r="240" spans="1:13" x14ac:dyDescent="0.25">
      <c r="A240" s="2" t="s">
        <v>243</v>
      </c>
      <c r="B240">
        <v>0.83699999999999997</v>
      </c>
      <c r="C240">
        <v>0.89400000000000002</v>
      </c>
      <c r="E240" s="3"/>
      <c r="J240">
        <v>0.56699999999999995</v>
      </c>
      <c r="K240">
        <v>0.73099999999999998</v>
      </c>
      <c r="L240" s="3"/>
      <c r="M240" s="3"/>
    </row>
    <row r="241" spans="1:13" x14ac:dyDescent="0.25">
      <c r="A241" s="2" t="s">
        <v>244</v>
      </c>
      <c r="B241">
        <v>0.70699999999999996</v>
      </c>
      <c r="C241">
        <v>0.76300000000000001</v>
      </c>
      <c r="E241" s="3"/>
      <c r="J241">
        <v>0.23300000000000001</v>
      </c>
      <c r="K241">
        <v>0.438</v>
      </c>
      <c r="L241" s="3"/>
      <c r="M241" s="3"/>
    </row>
    <row r="242" spans="1:13" x14ac:dyDescent="0.25">
      <c r="A242" s="2" t="s">
        <v>245</v>
      </c>
      <c r="B242">
        <v>0.74199999999999999</v>
      </c>
      <c r="C242">
        <v>0.78600000000000003</v>
      </c>
      <c r="E242" s="3"/>
      <c r="J242">
        <v>0.42</v>
      </c>
      <c r="K242">
        <v>0.52500000000000002</v>
      </c>
      <c r="L242" s="3"/>
      <c r="M242" s="3"/>
    </row>
    <row r="243" spans="1:13" x14ac:dyDescent="0.25">
      <c r="A243" s="2" t="s">
        <v>246</v>
      </c>
      <c r="B243">
        <v>0.74199999999999999</v>
      </c>
      <c r="C243">
        <v>0.81200000000000006</v>
      </c>
      <c r="E243" s="3"/>
      <c r="J243">
        <v>0.42</v>
      </c>
      <c r="K243">
        <v>0.55700000000000005</v>
      </c>
      <c r="L243" s="3"/>
      <c r="M243" s="3"/>
    </row>
    <row r="244" spans="1:13" x14ac:dyDescent="0.25">
      <c r="A244" s="2" t="s">
        <v>247</v>
      </c>
      <c r="B244">
        <v>0.878</v>
      </c>
      <c r="C244">
        <v>0.93200000000000005</v>
      </c>
      <c r="D244" s="3">
        <f>MEDIAN(B244)</f>
        <v>0.878</v>
      </c>
      <c r="E244" s="3">
        <f>MEDIAN(C244)</f>
        <v>0.93200000000000005</v>
      </c>
      <c r="J244">
        <v>0.80300000000000005</v>
      </c>
      <c r="K244">
        <v>0.90800000000000003</v>
      </c>
      <c r="L244" s="3">
        <f>MEDIAN(J244)</f>
        <v>0.80300000000000005</v>
      </c>
      <c r="M244" s="3">
        <f>MEDIAN(K244)</f>
        <v>0.90800000000000003</v>
      </c>
    </row>
    <row r="245" spans="1:13" x14ac:dyDescent="0.25">
      <c r="A245" s="2" t="s">
        <v>248</v>
      </c>
      <c r="B245">
        <v>0.84899999999999998</v>
      </c>
      <c r="C245">
        <v>0.91</v>
      </c>
      <c r="D245" s="3">
        <f>MEDIAN(B245)</f>
        <v>0.84899999999999998</v>
      </c>
      <c r="E245" s="3">
        <f>MEDIAN(C245)</f>
        <v>0.91</v>
      </c>
      <c r="J245">
        <v>0.76400000000000001</v>
      </c>
      <c r="K245">
        <v>0.79</v>
      </c>
      <c r="L245" s="3">
        <f>MEDIAN(J245)</f>
        <v>0.76400000000000001</v>
      </c>
      <c r="M245" s="3">
        <f>MEDIAN(K245)</f>
        <v>0.79</v>
      </c>
    </row>
    <row r="246" spans="1:13" x14ac:dyDescent="0.25">
      <c r="A246" s="2" t="s">
        <v>249</v>
      </c>
      <c r="B246">
        <v>0.88</v>
      </c>
      <c r="C246">
        <v>0.92700000000000005</v>
      </c>
      <c r="D246" s="3">
        <f>MEDIAN(B246:B249)</f>
        <v>0.85599999999999998</v>
      </c>
      <c r="E246" s="3">
        <f>MEDIAN(C246:C249)</f>
        <v>0.91200000000000003</v>
      </c>
      <c r="J246">
        <v>0.85699999999999998</v>
      </c>
      <c r="K246">
        <v>0.88500000000000001</v>
      </c>
      <c r="L246" s="3">
        <f>MEDIAN(J246:J249)</f>
        <v>0.73699999999999999</v>
      </c>
      <c r="M246" s="3">
        <f>MEDIAN(K246:K249)</f>
        <v>0.80200000000000005</v>
      </c>
    </row>
    <row r="247" spans="1:13" x14ac:dyDescent="0.25">
      <c r="A247" s="2" t="s">
        <v>250</v>
      </c>
      <c r="B247">
        <v>0.84899999999999998</v>
      </c>
      <c r="C247">
        <v>0.90800000000000003</v>
      </c>
      <c r="E247" s="3"/>
      <c r="J247">
        <v>0.69799999999999995</v>
      </c>
      <c r="K247">
        <v>0.79400000000000004</v>
      </c>
      <c r="L247" s="3"/>
      <c r="M247" s="3"/>
    </row>
    <row r="248" spans="1:13" x14ac:dyDescent="0.25">
      <c r="A248" s="2" t="s">
        <v>251</v>
      </c>
      <c r="B248">
        <v>0.82</v>
      </c>
      <c r="C248">
        <v>0.85599999999999998</v>
      </c>
      <c r="E248" s="3"/>
      <c r="J248">
        <v>0.51300000000000001</v>
      </c>
      <c r="K248">
        <v>0.61799999999999999</v>
      </c>
      <c r="L248" s="3"/>
      <c r="M248" s="3"/>
    </row>
    <row r="249" spans="1:13" x14ac:dyDescent="0.25">
      <c r="A249" s="2" t="s">
        <v>252</v>
      </c>
      <c r="B249">
        <v>0.86299999999999999</v>
      </c>
      <c r="C249">
        <v>0.91600000000000004</v>
      </c>
      <c r="E249" s="3"/>
      <c r="J249">
        <v>0.77600000000000002</v>
      </c>
      <c r="K249">
        <v>0.81</v>
      </c>
      <c r="L249" s="3"/>
      <c r="M249" s="3"/>
    </row>
    <row r="250" spans="1:13" x14ac:dyDescent="0.25">
      <c r="A250" s="2" t="s">
        <v>253</v>
      </c>
      <c r="B250">
        <v>0.84399999999999997</v>
      </c>
      <c r="C250">
        <v>0.89400000000000002</v>
      </c>
      <c r="D250" s="3">
        <f>MEDIAN(B250:B268)</f>
        <v>0.80100000000000005</v>
      </c>
      <c r="E250" s="3">
        <f>MEDIAN(C250:C268)</f>
        <v>0.84499999999999997</v>
      </c>
      <c r="J250">
        <v>0.61599999999999999</v>
      </c>
      <c r="K250">
        <v>0.73099999999999998</v>
      </c>
      <c r="L250" s="3">
        <f>MEDIAN(J250:J268)</f>
        <v>0.497</v>
      </c>
      <c r="M250" s="3">
        <f>MEDIAN(K250:K268)</f>
        <v>0.629</v>
      </c>
    </row>
    <row r="251" spans="1:13" x14ac:dyDescent="0.25">
      <c r="A251" s="2" t="s">
        <v>254</v>
      </c>
      <c r="B251">
        <v>0.80100000000000005</v>
      </c>
      <c r="C251">
        <v>0.84399999999999997</v>
      </c>
      <c r="E251" s="3"/>
      <c r="J251">
        <v>0.497</v>
      </c>
      <c r="K251">
        <v>0.59499999999999997</v>
      </c>
      <c r="L251" s="3"/>
      <c r="M251" s="3"/>
    </row>
    <row r="252" spans="1:13" x14ac:dyDescent="0.25">
      <c r="A252" s="2" t="s">
        <v>255</v>
      </c>
      <c r="B252">
        <v>0.79300000000000004</v>
      </c>
      <c r="C252">
        <v>0.85199999999999998</v>
      </c>
      <c r="E252" s="3"/>
      <c r="J252">
        <v>0.46700000000000003</v>
      </c>
      <c r="K252">
        <v>0.629</v>
      </c>
      <c r="L252" s="3"/>
      <c r="M252" s="3"/>
    </row>
    <row r="253" spans="1:13" x14ac:dyDescent="0.25">
      <c r="A253" s="2" t="s">
        <v>256</v>
      </c>
      <c r="B253">
        <v>0.78600000000000003</v>
      </c>
      <c r="C253">
        <v>0.82499999999999996</v>
      </c>
      <c r="E253" s="3"/>
      <c r="J253">
        <v>0.439</v>
      </c>
      <c r="K253">
        <v>0.63800000000000001</v>
      </c>
      <c r="L253" s="3"/>
      <c r="M253" s="3"/>
    </row>
    <row r="254" spans="1:13" x14ac:dyDescent="0.25">
      <c r="A254" s="2" t="s">
        <v>257</v>
      </c>
      <c r="B254">
        <v>0.85799999999999998</v>
      </c>
      <c r="C254">
        <v>0.91200000000000003</v>
      </c>
      <c r="E254" s="3"/>
      <c r="J254">
        <v>0.72399999999999998</v>
      </c>
      <c r="K254">
        <v>0.79200000000000004</v>
      </c>
      <c r="L254" s="3"/>
      <c r="M254" s="3"/>
    </row>
    <row r="255" spans="1:13" x14ac:dyDescent="0.25">
      <c r="A255" s="2" t="s">
        <v>258</v>
      </c>
      <c r="B255">
        <v>0.80100000000000005</v>
      </c>
      <c r="C255">
        <v>0.84399999999999997</v>
      </c>
      <c r="E255" s="3"/>
      <c r="J255">
        <v>0.497</v>
      </c>
      <c r="K255">
        <v>0.59499999999999997</v>
      </c>
      <c r="L255" s="3"/>
      <c r="M255" s="3"/>
    </row>
    <row r="256" spans="1:13" x14ac:dyDescent="0.25">
      <c r="A256" s="2" t="s">
        <v>259</v>
      </c>
      <c r="B256">
        <v>0.83699999999999997</v>
      </c>
      <c r="C256">
        <v>0.89500000000000002</v>
      </c>
      <c r="E256" s="3"/>
      <c r="J256">
        <v>0.56699999999999995</v>
      </c>
      <c r="K256">
        <v>0.75</v>
      </c>
      <c r="L256" s="3"/>
      <c r="M256" s="3"/>
    </row>
    <row r="257" spans="1:13" x14ac:dyDescent="0.25">
      <c r="A257" s="2" t="s">
        <v>260</v>
      </c>
      <c r="B257">
        <v>0.71899999999999997</v>
      </c>
      <c r="C257">
        <v>0.78400000000000003</v>
      </c>
      <c r="E257" s="3"/>
      <c r="J257">
        <v>0.30599999999999999</v>
      </c>
      <c r="K257">
        <v>0.46700000000000003</v>
      </c>
      <c r="L257" s="3"/>
      <c r="M257" s="3"/>
    </row>
    <row r="258" spans="1:13" x14ac:dyDescent="0.25">
      <c r="A258" s="2" t="s">
        <v>261</v>
      </c>
      <c r="B258">
        <v>0.78300000000000003</v>
      </c>
      <c r="C258">
        <v>0.84499999999999997</v>
      </c>
      <c r="E258" s="3"/>
      <c r="J258">
        <v>0.44800000000000001</v>
      </c>
      <c r="K258">
        <v>0.59499999999999997</v>
      </c>
      <c r="L258" s="3"/>
      <c r="M258" s="3"/>
    </row>
    <row r="259" spans="1:13" x14ac:dyDescent="0.25">
      <c r="A259" s="2" t="s">
        <v>262</v>
      </c>
      <c r="B259">
        <v>0.88400000000000001</v>
      </c>
      <c r="C259">
        <v>0.93100000000000005</v>
      </c>
      <c r="E259" s="3"/>
      <c r="J259">
        <v>0.77600000000000002</v>
      </c>
      <c r="K259">
        <v>0.88</v>
      </c>
      <c r="L259" s="3"/>
      <c r="M259" s="3"/>
    </row>
    <row r="260" spans="1:13" x14ac:dyDescent="0.25">
      <c r="A260" s="2" t="s">
        <v>263</v>
      </c>
      <c r="B260">
        <v>0.85699999999999998</v>
      </c>
      <c r="C260">
        <v>0.91600000000000004</v>
      </c>
      <c r="E260" s="3"/>
      <c r="J260">
        <v>0.77900000000000003</v>
      </c>
      <c r="K260">
        <v>0.83499999999999996</v>
      </c>
      <c r="L260" s="3"/>
      <c r="M260" s="3"/>
    </row>
    <row r="261" spans="1:13" x14ac:dyDescent="0.25">
      <c r="A261" s="2" t="s">
        <v>264</v>
      </c>
      <c r="B261">
        <v>0.83699999999999997</v>
      </c>
      <c r="C261">
        <v>0.89500000000000002</v>
      </c>
      <c r="E261" s="3"/>
      <c r="J261">
        <v>0.56699999999999995</v>
      </c>
      <c r="K261">
        <v>0.75</v>
      </c>
      <c r="L261" s="3"/>
      <c r="M261" s="3"/>
    </row>
    <row r="262" spans="1:13" x14ac:dyDescent="0.25">
      <c r="A262" s="2" t="s">
        <v>265</v>
      </c>
      <c r="B262">
        <v>0.71899999999999997</v>
      </c>
      <c r="C262">
        <v>0.76900000000000002</v>
      </c>
      <c r="E262" s="3"/>
      <c r="J262">
        <v>0.30599999999999999</v>
      </c>
      <c r="K262">
        <v>0.47599999999999998</v>
      </c>
      <c r="L262" s="3"/>
      <c r="M262" s="3"/>
    </row>
    <row r="263" spans="1:13" x14ac:dyDescent="0.25">
      <c r="A263" s="2" t="s">
        <v>266</v>
      </c>
      <c r="B263">
        <v>0.82099999999999995</v>
      </c>
      <c r="C263">
        <v>0.85199999999999998</v>
      </c>
      <c r="E263" s="3"/>
      <c r="J263">
        <v>0.51500000000000001</v>
      </c>
      <c r="K263">
        <v>0.629</v>
      </c>
      <c r="L263" s="3"/>
      <c r="M263" s="3"/>
    </row>
    <row r="264" spans="1:13" x14ac:dyDescent="0.25">
      <c r="A264" s="2" t="s">
        <v>267</v>
      </c>
      <c r="B264">
        <v>0.70699999999999996</v>
      </c>
      <c r="C264">
        <v>0.76300000000000001</v>
      </c>
      <c r="E264" s="3"/>
      <c r="J264">
        <v>0.23300000000000001</v>
      </c>
      <c r="K264">
        <v>0.438</v>
      </c>
      <c r="L264" s="3"/>
      <c r="M264" s="3"/>
    </row>
    <row r="265" spans="1:13" x14ac:dyDescent="0.25">
      <c r="A265" s="2" t="s">
        <v>268</v>
      </c>
      <c r="B265">
        <v>0.71499999999999997</v>
      </c>
      <c r="C265">
        <v>0.76500000000000001</v>
      </c>
      <c r="E265" s="3"/>
      <c r="J265">
        <v>0.29899999999999999</v>
      </c>
      <c r="K265">
        <v>0.49199999999999999</v>
      </c>
      <c r="L265" s="3"/>
      <c r="M265" s="3"/>
    </row>
    <row r="266" spans="1:13" x14ac:dyDescent="0.25">
      <c r="A266" s="2" t="s">
        <v>269</v>
      </c>
      <c r="B266">
        <v>0.71899999999999997</v>
      </c>
      <c r="C266">
        <v>0.78400000000000003</v>
      </c>
      <c r="E266" s="3"/>
      <c r="J266">
        <v>0.30599999999999999</v>
      </c>
      <c r="K266">
        <v>0.46700000000000003</v>
      </c>
      <c r="L266" s="3"/>
      <c r="M266" s="3"/>
    </row>
    <row r="267" spans="1:13" x14ac:dyDescent="0.25">
      <c r="A267" s="2" t="s">
        <v>270</v>
      </c>
      <c r="B267">
        <v>0.71699999999999997</v>
      </c>
      <c r="C267">
        <v>0.78400000000000003</v>
      </c>
      <c r="E267" s="3"/>
      <c r="J267">
        <v>0.309</v>
      </c>
      <c r="K267">
        <v>0.46700000000000003</v>
      </c>
      <c r="L267" s="3"/>
      <c r="M267" s="3"/>
    </row>
    <row r="268" spans="1:13" x14ac:dyDescent="0.25">
      <c r="A268" s="2" t="s">
        <v>271</v>
      </c>
      <c r="B268">
        <v>0.82099999999999995</v>
      </c>
      <c r="C268">
        <v>0.85199999999999998</v>
      </c>
      <c r="E268" s="3"/>
      <c r="J268">
        <v>0.51500000000000001</v>
      </c>
      <c r="K268">
        <v>0.629</v>
      </c>
      <c r="L268" s="3"/>
      <c r="M268" s="3"/>
    </row>
    <row r="269" spans="1:13" x14ac:dyDescent="0.25">
      <c r="A269" s="2" t="s">
        <v>272</v>
      </c>
      <c r="B269">
        <v>0.85899999999999999</v>
      </c>
      <c r="C269">
        <v>0.91500000000000004</v>
      </c>
      <c r="D269" s="3">
        <f>MEDIAN(B269)</f>
        <v>0.85899999999999999</v>
      </c>
      <c r="E269" s="3">
        <f>MEDIAN(C269)</f>
        <v>0.91500000000000004</v>
      </c>
      <c r="J269">
        <v>0.80900000000000005</v>
      </c>
      <c r="K269">
        <v>0.871</v>
      </c>
      <c r="L269" s="3">
        <f>MEDIAN(J269)</f>
        <v>0.80900000000000005</v>
      </c>
      <c r="M269" s="3">
        <f>MEDIAN(K269)</f>
        <v>0.871</v>
      </c>
    </row>
    <row r="270" spans="1:13" x14ac:dyDescent="0.25">
      <c r="A270" s="2" t="s">
        <v>273</v>
      </c>
      <c r="B270">
        <v>0.85</v>
      </c>
      <c r="C270">
        <v>0.91300000000000003</v>
      </c>
      <c r="D270" s="3">
        <f>MEDIAN(B270)</f>
        <v>0.85</v>
      </c>
      <c r="E270" s="3">
        <f>MEDIAN(C270)</f>
        <v>0.91300000000000003</v>
      </c>
      <c r="J270">
        <v>0.72199999999999998</v>
      </c>
      <c r="K270">
        <v>0.78700000000000003</v>
      </c>
      <c r="L270" s="3">
        <f>MEDIAN(J270)</f>
        <v>0.72199999999999998</v>
      </c>
      <c r="M270" s="3">
        <f>MEDIAN(K270)</f>
        <v>0.78700000000000003</v>
      </c>
    </row>
    <row r="271" spans="1:13" x14ac:dyDescent="0.25">
      <c r="A271" s="2" t="s">
        <v>274</v>
      </c>
      <c r="B271">
        <v>0.85799999999999998</v>
      </c>
      <c r="C271">
        <v>0.91600000000000004</v>
      </c>
      <c r="D271" s="3">
        <f>MEDIAN(B271:B273)</f>
        <v>0.85799999999999998</v>
      </c>
      <c r="E271" s="3">
        <f>MEDIAN(C271:C273)</f>
        <v>0.91600000000000004</v>
      </c>
      <c r="J271">
        <v>0.72399999999999998</v>
      </c>
      <c r="K271">
        <v>0.81</v>
      </c>
      <c r="L271" s="3">
        <f>MEDIAN(J271:J273)</f>
        <v>0.72399999999999998</v>
      </c>
      <c r="M271" s="3">
        <f>MEDIAN(K271:K273)</f>
        <v>0.81</v>
      </c>
    </row>
    <row r="272" spans="1:13" x14ac:dyDescent="0.25">
      <c r="A272" s="2" t="s">
        <v>275</v>
      </c>
      <c r="B272">
        <v>0.88100000000000001</v>
      </c>
      <c r="C272">
        <v>0.92900000000000005</v>
      </c>
      <c r="E272" s="3"/>
      <c r="J272">
        <v>0.879</v>
      </c>
      <c r="K272">
        <v>0.878</v>
      </c>
      <c r="L272" s="3"/>
      <c r="M272" s="3"/>
    </row>
    <row r="273" spans="1:13" x14ac:dyDescent="0.25">
      <c r="A273" s="2" t="s">
        <v>276</v>
      </c>
      <c r="B273">
        <v>0.70699999999999996</v>
      </c>
      <c r="C273">
        <v>0.76300000000000001</v>
      </c>
      <c r="E273" s="3"/>
      <c r="J273">
        <v>0.23300000000000001</v>
      </c>
      <c r="K273">
        <v>0.438</v>
      </c>
      <c r="L273" s="3"/>
      <c r="M273" s="3"/>
    </row>
    <row r="274" spans="1:13" x14ac:dyDescent="0.25">
      <c r="A274" s="2" t="s">
        <v>277</v>
      </c>
      <c r="B274">
        <v>0.79300000000000004</v>
      </c>
      <c r="C274">
        <v>0.83799999999999997</v>
      </c>
      <c r="D274" s="3">
        <f>MEDIAN(B274:B277)</f>
        <v>0.76</v>
      </c>
      <c r="E274" s="3">
        <f>MEDIAN(C274:C277)</f>
        <v>0.81200000000000006</v>
      </c>
      <c r="J274">
        <v>0.46700000000000003</v>
      </c>
      <c r="K274">
        <v>0.60599999999999998</v>
      </c>
      <c r="L274" s="3">
        <f>MEDIAN(J274:J277)</f>
        <v>0.40800000000000003</v>
      </c>
      <c r="M274" s="3">
        <f>MEDIAN(K274:K277)</f>
        <v>0.5655</v>
      </c>
    </row>
    <row r="275" spans="1:13" x14ac:dyDescent="0.25">
      <c r="A275" s="2" t="s">
        <v>278</v>
      </c>
      <c r="B275">
        <v>0.84399999999999997</v>
      </c>
      <c r="C275">
        <v>0.89500000000000002</v>
      </c>
      <c r="E275" s="3"/>
      <c r="J275">
        <v>0.61599999999999999</v>
      </c>
      <c r="K275">
        <v>0.75</v>
      </c>
      <c r="L275" s="3"/>
      <c r="M275" s="3"/>
    </row>
    <row r="276" spans="1:13" x14ac:dyDescent="0.25">
      <c r="A276" s="2" t="s">
        <v>279</v>
      </c>
      <c r="B276">
        <v>0.71699999999999997</v>
      </c>
      <c r="C276">
        <v>0.77400000000000002</v>
      </c>
      <c r="E276" s="3"/>
      <c r="J276">
        <v>0.32</v>
      </c>
      <c r="K276">
        <v>0.51800000000000002</v>
      </c>
      <c r="L276" s="3"/>
      <c r="M276" s="3"/>
    </row>
    <row r="277" spans="1:13" x14ac:dyDescent="0.25">
      <c r="A277" s="2" t="s">
        <v>280</v>
      </c>
      <c r="B277">
        <v>0.72699999999999998</v>
      </c>
      <c r="C277">
        <v>0.78600000000000003</v>
      </c>
      <c r="E277" s="3"/>
      <c r="J277">
        <v>0.34899999999999998</v>
      </c>
      <c r="K277">
        <v>0.52500000000000002</v>
      </c>
      <c r="L277" s="3"/>
      <c r="M277" s="3"/>
    </row>
    <row r="278" spans="1:13" x14ac:dyDescent="0.25">
      <c r="A278" s="2" t="s">
        <v>281</v>
      </c>
      <c r="B278">
        <v>0.85799999999999998</v>
      </c>
      <c r="C278">
        <v>0.91800000000000004</v>
      </c>
      <c r="D278" s="3">
        <f>MEDIAN(B278:B279)</f>
        <v>0.78249999999999997</v>
      </c>
      <c r="E278" s="3">
        <f>MEDIAN(C278:C279)</f>
        <v>0.84050000000000002</v>
      </c>
      <c r="J278">
        <v>0.75800000000000001</v>
      </c>
      <c r="K278">
        <v>0.83</v>
      </c>
      <c r="L278" s="3">
        <f>MEDIAN(J278:J279)</f>
        <v>0.49550000000000005</v>
      </c>
      <c r="M278" s="3">
        <f>MEDIAN(K278:K279)</f>
        <v>0.63400000000000001</v>
      </c>
    </row>
    <row r="279" spans="1:13" x14ac:dyDescent="0.25">
      <c r="A279" s="2" t="s">
        <v>282</v>
      </c>
      <c r="B279">
        <v>0.70699999999999996</v>
      </c>
      <c r="C279">
        <v>0.76300000000000001</v>
      </c>
      <c r="E279" s="3"/>
      <c r="J279">
        <v>0.23300000000000001</v>
      </c>
      <c r="K279">
        <v>0.438</v>
      </c>
      <c r="L279" s="3"/>
      <c r="M279" s="3"/>
    </row>
    <row r="280" spans="1:13" x14ac:dyDescent="0.25">
      <c r="A280" s="2" t="s">
        <v>283</v>
      </c>
      <c r="B280">
        <v>0.70899999999999996</v>
      </c>
      <c r="C280">
        <v>0.76900000000000002</v>
      </c>
      <c r="D280" s="3">
        <f>MEDIAN(B280:B296)</f>
        <v>0.75449999999999995</v>
      </c>
      <c r="E280" s="3">
        <f>MEDIAN(C280:C296)</f>
        <v>0.78400000000000003</v>
      </c>
      <c r="J280">
        <v>0.3</v>
      </c>
      <c r="K280">
        <v>0.47599999999999998</v>
      </c>
      <c r="L280" s="3">
        <f>MEDIAN(J280:J296)</f>
        <v>0.39200000000000002</v>
      </c>
      <c r="M280" s="3">
        <f>MEDIAN(K280:K296)</f>
        <v>0.49199999999999999</v>
      </c>
    </row>
    <row r="281" spans="1:13" x14ac:dyDescent="0.25">
      <c r="A281" s="2" t="s">
        <v>284</v>
      </c>
      <c r="B281">
        <v>0.85</v>
      </c>
      <c r="C281">
        <v>0.91700000000000004</v>
      </c>
      <c r="E281" s="3"/>
      <c r="J281">
        <v>0.72199999999999998</v>
      </c>
      <c r="K281">
        <v>0.79100000000000004</v>
      </c>
      <c r="L281" s="3"/>
      <c r="M281" s="3"/>
    </row>
    <row r="282" spans="1:13" x14ac:dyDescent="0.25">
      <c r="A282" s="2" t="s">
        <v>285</v>
      </c>
      <c r="B282">
        <v>0.72599999999999998</v>
      </c>
      <c r="C282">
        <v>0.78400000000000003</v>
      </c>
      <c r="E282" s="3"/>
      <c r="J282">
        <v>0.34499999999999997</v>
      </c>
      <c r="K282">
        <v>0.46700000000000003</v>
      </c>
      <c r="L282" s="3"/>
      <c r="M282" s="3"/>
    </row>
    <row r="283" spans="1:13" x14ac:dyDescent="0.25">
      <c r="A283" s="2" t="s">
        <v>286</v>
      </c>
      <c r="C283">
        <v>0.78400000000000003</v>
      </c>
      <c r="E283" s="3"/>
      <c r="K283">
        <v>0.46700000000000003</v>
      </c>
      <c r="L283" s="3"/>
      <c r="M283" s="3"/>
    </row>
    <row r="284" spans="1:13" x14ac:dyDescent="0.25">
      <c r="A284" s="2" t="s">
        <v>287</v>
      </c>
      <c r="B284">
        <v>0.83699999999999997</v>
      </c>
      <c r="C284">
        <v>0.88700000000000001</v>
      </c>
      <c r="E284" s="3"/>
      <c r="J284">
        <v>0.56699999999999995</v>
      </c>
      <c r="K284">
        <v>0.77300000000000002</v>
      </c>
      <c r="L284" s="3"/>
      <c r="M284" s="3"/>
    </row>
    <row r="285" spans="1:13" x14ac:dyDescent="0.25">
      <c r="A285" s="2" t="s">
        <v>288</v>
      </c>
      <c r="B285">
        <v>0.79600000000000004</v>
      </c>
      <c r="C285">
        <v>0.82499999999999996</v>
      </c>
      <c r="E285" s="3"/>
      <c r="J285">
        <v>0.52600000000000002</v>
      </c>
      <c r="K285">
        <v>0.63800000000000001</v>
      </c>
      <c r="L285" s="3"/>
      <c r="M285" s="3"/>
    </row>
    <row r="286" spans="1:13" x14ac:dyDescent="0.25">
      <c r="A286" s="2" t="s">
        <v>289</v>
      </c>
      <c r="B286">
        <v>0.80100000000000005</v>
      </c>
      <c r="C286">
        <v>0.84399999999999997</v>
      </c>
      <c r="E286" s="3"/>
      <c r="J286">
        <v>0.497</v>
      </c>
      <c r="K286">
        <v>0.59499999999999997</v>
      </c>
      <c r="L286" s="3"/>
      <c r="M286" s="3"/>
    </row>
    <row r="287" spans="1:13" x14ac:dyDescent="0.25">
      <c r="A287" s="2" t="s">
        <v>290</v>
      </c>
      <c r="B287">
        <v>0.70699999999999996</v>
      </c>
      <c r="C287">
        <v>0.76300000000000001</v>
      </c>
      <c r="E287" s="3"/>
      <c r="J287">
        <v>0.23300000000000001</v>
      </c>
      <c r="K287">
        <v>0.438</v>
      </c>
      <c r="L287" s="3"/>
      <c r="M287" s="3"/>
    </row>
    <row r="288" spans="1:13" x14ac:dyDescent="0.25">
      <c r="A288" s="2" t="s">
        <v>291</v>
      </c>
      <c r="B288">
        <v>0.71499999999999997</v>
      </c>
      <c r="C288">
        <v>0.76500000000000001</v>
      </c>
      <c r="E288" s="3"/>
      <c r="J288">
        <v>0.29899999999999999</v>
      </c>
      <c r="K288">
        <v>0.49199999999999999</v>
      </c>
      <c r="L288" s="3"/>
      <c r="M288" s="3"/>
    </row>
    <row r="289" spans="1:13" x14ac:dyDescent="0.25">
      <c r="A289" s="2" t="s">
        <v>292</v>
      </c>
      <c r="B289">
        <v>0.78300000000000003</v>
      </c>
      <c r="C289">
        <v>0.84499999999999997</v>
      </c>
      <c r="E289" s="3"/>
      <c r="J289">
        <v>0.44800000000000001</v>
      </c>
      <c r="K289">
        <v>0.59499999999999997</v>
      </c>
      <c r="L289" s="3"/>
      <c r="M289" s="3"/>
    </row>
    <row r="290" spans="1:13" x14ac:dyDescent="0.25">
      <c r="A290" s="2" t="s">
        <v>293</v>
      </c>
      <c r="B290">
        <v>0.71699999999999997</v>
      </c>
      <c r="C290">
        <v>0.76500000000000001</v>
      </c>
      <c r="E290" s="3"/>
      <c r="J290">
        <v>0.309</v>
      </c>
      <c r="K290">
        <v>0.49199999999999999</v>
      </c>
      <c r="L290" s="3"/>
      <c r="M290" s="3"/>
    </row>
    <row r="291" spans="1:13" x14ac:dyDescent="0.25">
      <c r="A291" s="2" t="s">
        <v>294</v>
      </c>
      <c r="B291">
        <v>0.82799999999999996</v>
      </c>
      <c r="C291">
        <v>0.88100000000000001</v>
      </c>
      <c r="E291" s="3"/>
      <c r="J291">
        <v>0.53900000000000003</v>
      </c>
      <c r="K291">
        <v>0.69499999999999995</v>
      </c>
      <c r="L291" s="3"/>
      <c r="M291" s="3"/>
    </row>
    <row r="292" spans="1:13" x14ac:dyDescent="0.25">
      <c r="A292" s="2" t="s">
        <v>295</v>
      </c>
      <c r="B292">
        <v>0.71499999999999997</v>
      </c>
      <c r="C292">
        <v>0.76500000000000001</v>
      </c>
      <c r="E292" s="3"/>
      <c r="J292">
        <v>0.29899999999999999</v>
      </c>
      <c r="K292">
        <v>0.49199999999999999</v>
      </c>
      <c r="L292" s="3"/>
      <c r="M292" s="3"/>
    </row>
    <row r="293" spans="1:13" x14ac:dyDescent="0.25">
      <c r="A293" s="2" t="s">
        <v>296</v>
      </c>
      <c r="B293">
        <v>0.82599999999999996</v>
      </c>
      <c r="C293">
        <v>0.88100000000000001</v>
      </c>
      <c r="E293" s="3"/>
      <c r="J293">
        <v>0.58399999999999996</v>
      </c>
      <c r="K293">
        <v>0.69499999999999995</v>
      </c>
      <c r="L293" s="3"/>
      <c r="M293" s="3"/>
    </row>
    <row r="294" spans="1:13" x14ac:dyDescent="0.25">
      <c r="A294" s="2" t="s">
        <v>297</v>
      </c>
      <c r="B294">
        <v>0.70699999999999996</v>
      </c>
      <c r="C294">
        <v>0.76300000000000001</v>
      </c>
      <c r="E294" s="3"/>
      <c r="J294">
        <v>0.27900000000000003</v>
      </c>
      <c r="K294">
        <v>0.438</v>
      </c>
      <c r="L294" s="3"/>
      <c r="M294" s="3"/>
    </row>
    <row r="295" spans="1:13" x14ac:dyDescent="0.25">
      <c r="A295" s="2" t="s">
        <v>298</v>
      </c>
      <c r="B295">
        <v>0.78600000000000003</v>
      </c>
      <c r="C295">
        <v>0.82499999999999996</v>
      </c>
      <c r="E295" s="3"/>
      <c r="J295">
        <v>0.439</v>
      </c>
      <c r="K295">
        <v>0.63800000000000001</v>
      </c>
      <c r="L295" s="3"/>
      <c r="M295" s="3"/>
    </row>
    <row r="296" spans="1:13" x14ac:dyDescent="0.25">
      <c r="A296" s="2" t="s">
        <v>299</v>
      </c>
      <c r="B296">
        <v>0.70699999999999996</v>
      </c>
      <c r="C296">
        <v>0.76900000000000002</v>
      </c>
      <c r="E296" s="3"/>
      <c r="J296">
        <v>0.23300000000000001</v>
      </c>
      <c r="K296">
        <v>0.47599999999999998</v>
      </c>
      <c r="L296" s="3"/>
      <c r="M296" s="3"/>
    </row>
    <row r="297" spans="1:13" x14ac:dyDescent="0.25">
      <c r="A297" s="2" t="s">
        <v>300</v>
      </c>
      <c r="C297">
        <v>0.76500000000000001</v>
      </c>
      <c r="D297" s="3">
        <f>MEDIAN(B297:B298)</f>
        <v>0.72</v>
      </c>
      <c r="E297" s="3">
        <f>MEDIAN(C297:C298)</f>
        <v>0.76500000000000001</v>
      </c>
      <c r="K297">
        <v>0.49199999999999999</v>
      </c>
      <c r="L297" s="3">
        <f>MEDIAN(J297:J298)</f>
        <v>0.32700000000000001</v>
      </c>
      <c r="M297" s="3">
        <f>MEDIAN(K297:K298)</f>
        <v>0.49199999999999999</v>
      </c>
    </row>
    <row r="298" spans="1:13" x14ac:dyDescent="0.25">
      <c r="A298" s="2" t="s">
        <v>301</v>
      </c>
      <c r="B298">
        <v>0.72</v>
      </c>
      <c r="C298">
        <v>0.76500000000000001</v>
      </c>
      <c r="E298" s="3"/>
      <c r="J298">
        <v>0.32700000000000001</v>
      </c>
      <c r="K298">
        <v>0.49199999999999999</v>
      </c>
      <c r="L298" s="3"/>
      <c r="M298" s="3"/>
    </row>
    <row r="299" spans="1:13" x14ac:dyDescent="0.25">
      <c r="A299" s="2" t="s">
        <v>302</v>
      </c>
      <c r="B299">
        <v>0.83699999999999997</v>
      </c>
      <c r="C299">
        <v>0.88700000000000001</v>
      </c>
      <c r="D299" s="3">
        <f>MEDIAN(B299:B303)</f>
        <v>0.83250000000000002</v>
      </c>
      <c r="E299" s="3">
        <f>MEDIAN(C299:C303)</f>
        <v>0.86499999999999999</v>
      </c>
      <c r="J299">
        <v>0.56699999999999995</v>
      </c>
      <c r="K299">
        <v>0.77300000000000002</v>
      </c>
      <c r="L299" s="3">
        <f>MEDIAN(J299:J303)</f>
        <v>0.55299999999999994</v>
      </c>
      <c r="M299" s="3">
        <f>MEDIAN(K299:K303)</f>
        <v>0.67200000000000004</v>
      </c>
    </row>
    <row r="300" spans="1:13" x14ac:dyDescent="0.25">
      <c r="A300" s="2" t="s">
        <v>303</v>
      </c>
      <c r="B300">
        <v>0.85699999999999998</v>
      </c>
      <c r="C300">
        <v>0.91600000000000004</v>
      </c>
      <c r="E300" s="3"/>
      <c r="J300">
        <v>0.77900000000000003</v>
      </c>
      <c r="K300">
        <v>0.83499999999999996</v>
      </c>
      <c r="L300" s="3"/>
      <c r="M300" s="3"/>
    </row>
    <row r="301" spans="1:13" x14ac:dyDescent="0.25">
      <c r="A301" s="2" t="s">
        <v>304</v>
      </c>
      <c r="B301">
        <v>0.82799999999999996</v>
      </c>
      <c r="C301">
        <v>0.86499999999999999</v>
      </c>
      <c r="E301" s="3"/>
      <c r="J301">
        <v>0.53900000000000003</v>
      </c>
      <c r="K301">
        <v>0.67200000000000004</v>
      </c>
      <c r="L301" s="3"/>
      <c r="M301" s="3"/>
    </row>
    <row r="302" spans="1:13" x14ac:dyDescent="0.25">
      <c r="A302" s="2" t="s">
        <v>305</v>
      </c>
      <c r="B302">
        <v>0.72599999999999998</v>
      </c>
      <c r="C302">
        <v>0.77400000000000002</v>
      </c>
      <c r="E302" s="3"/>
      <c r="J302">
        <v>0.34499999999999997</v>
      </c>
      <c r="K302">
        <v>0.51800000000000002</v>
      </c>
      <c r="L302" s="3"/>
      <c r="M302" s="3"/>
    </row>
    <row r="303" spans="1:13" x14ac:dyDescent="0.25">
      <c r="A303" s="2" t="s">
        <v>306</v>
      </c>
      <c r="C303">
        <v>0.76500000000000001</v>
      </c>
      <c r="E303" s="3"/>
      <c r="K303">
        <v>0.49199999999999999</v>
      </c>
      <c r="L303" s="3"/>
      <c r="M303" s="3"/>
    </row>
    <row r="304" spans="1:13" x14ac:dyDescent="0.25">
      <c r="A304" s="2" t="s">
        <v>307</v>
      </c>
      <c r="B304">
        <v>0.89800000000000002</v>
      </c>
      <c r="C304">
        <v>0.95199999999999996</v>
      </c>
      <c r="D304" s="3">
        <f>MEDIAN(B304)</f>
        <v>0.89800000000000002</v>
      </c>
      <c r="E304" s="3">
        <f>MEDIAN(C304)</f>
        <v>0.95199999999999996</v>
      </c>
      <c r="J304">
        <v>0.879</v>
      </c>
      <c r="K304">
        <v>0.92400000000000004</v>
      </c>
      <c r="L304" s="3">
        <f>MEDIAN(J304)</f>
        <v>0.879</v>
      </c>
      <c r="M304" s="3">
        <f>MEDIAN(K304)</f>
        <v>0.92400000000000004</v>
      </c>
    </row>
    <row r="305" spans="1:13" x14ac:dyDescent="0.25">
      <c r="A305" s="2" t="s">
        <v>308</v>
      </c>
      <c r="B305">
        <v>0.878</v>
      </c>
      <c r="C305">
        <v>0.92900000000000005</v>
      </c>
      <c r="D305" s="3">
        <f>MEDIAN(B305)</f>
        <v>0.878</v>
      </c>
      <c r="E305" s="3">
        <f>MEDIAN(C305)</f>
        <v>0.92900000000000005</v>
      </c>
      <c r="J305">
        <v>0.80200000000000005</v>
      </c>
      <c r="K305">
        <v>0.878</v>
      </c>
      <c r="L305" s="3">
        <f>MEDIAN(J305)</f>
        <v>0.80200000000000005</v>
      </c>
      <c r="M305" s="3">
        <f>MEDIAN(K305)</f>
        <v>0.878</v>
      </c>
    </row>
    <row r="306" spans="1:13" x14ac:dyDescent="0.25">
      <c r="A306" s="2" t="s">
        <v>309</v>
      </c>
      <c r="B306">
        <v>0.88800000000000001</v>
      </c>
      <c r="C306">
        <v>0.94099999999999995</v>
      </c>
      <c r="D306" s="3">
        <f>MEDIAN(B306:B307)</f>
        <v>0.84650000000000003</v>
      </c>
      <c r="E306" s="3">
        <f>MEDIAN(C306:C307)</f>
        <v>0.89649999999999996</v>
      </c>
      <c r="J306">
        <v>0.87</v>
      </c>
      <c r="K306">
        <v>0.92300000000000004</v>
      </c>
      <c r="L306" s="3">
        <f>MEDIAN(J306:J307)</f>
        <v>0.66600000000000004</v>
      </c>
      <c r="M306" s="3">
        <f>MEDIAN(K306:K307)</f>
        <v>0.77600000000000002</v>
      </c>
    </row>
    <row r="307" spans="1:13" x14ac:dyDescent="0.25">
      <c r="A307" s="2" t="s">
        <v>310</v>
      </c>
      <c r="B307">
        <v>0.80500000000000005</v>
      </c>
      <c r="C307">
        <v>0.85199999999999998</v>
      </c>
      <c r="E307" s="3"/>
      <c r="J307">
        <v>0.46200000000000002</v>
      </c>
      <c r="K307">
        <v>0.629</v>
      </c>
      <c r="L307" s="3"/>
      <c r="M307" s="3"/>
    </row>
    <row r="308" spans="1:13" x14ac:dyDescent="0.25">
      <c r="A308" s="2" t="s">
        <v>311</v>
      </c>
      <c r="B308">
        <v>0.88800000000000001</v>
      </c>
      <c r="C308">
        <v>0.94099999999999995</v>
      </c>
      <c r="D308" s="3">
        <f>MEDIAN(B308:B309)</f>
        <v>0.80249999999999999</v>
      </c>
      <c r="E308" s="3">
        <f>MEDIAN(C308:C309)</f>
        <v>0.86349999999999993</v>
      </c>
      <c r="J308">
        <v>0.87</v>
      </c>
      <c r="K308">
        <v>0.92300000000000004</v>
      </c>
      <c r="L308" s="3">
        <f>MEDIAN(J308:J309)</f>
        <v>0.59499999999999997</v>
      </c>
      <c r="M308" s="3">
        <f>MEDIAN(K308:K309)</f>
        <v>0.72399999999999998</v>
      </c>
    </row>
    <row r="309" spans="1:13" x14ac:dyDescent="0.25">
      <c r="A309" s="2" t="s">
        <v>312</v>
      </c>
      <c r="B309">
        <v>0.71699999999999997</v>
      </c>
      <c r="C309">
        <v>0.78600000000000003</v>
      </c>
      <c r="E309" s="3"/>
      <c r="J309">
        <v>0.32</v>
      </c>
      <c r="K309">
        <v>0.52500000000000002</v>
      </c>
      <c r="L309" s="3"/>
      <c r="M309" s="3"/>
    </row>
    <row r="310" spans="1:13" x14ac:dyDescent="0.25">
      <c r="A310" s="2" t="s">
        <v>313</v>
      </c>
      <c r="B310">
        <v>0.85899999999999999</v>
      </c>
      <c r="C310">
        <v>0.91500000000000004</v>
      </c>
      <c r="D310" s="3">
        <f>MEDIAN(B310:B312)</f>
        <v>0.83949999999999991</v>
      </c>
      <c r="E310" s="3">
        <f>MEDIAN(C310:C312)</f>
        <v>0.91500000000000004</v>
      </c>
      <c r="J310">
        <v>0.80900000000000005</v>
      </c>
      <c r="K310">
        <v>0.871</v>
      </c>
      <c r="L310" s="3">
        <f>MEDIAN(J310:J312)</f>
        <v>0.66100000000000003</v>
      </c>
      <c r="M310" s="3">
        <f>MEDIAN(K310:K312)</f>
        <v>0.871</v>
      </c>
    </row>
    <row r="311" spans="1:13" x14ac:dyDescent="0.25">
      <c r="A311" s="2" t="s">
        <v>314</v>
      </c>
      <c r="C311">
        <v>0.95199999999999996</v>
      </c>
      <c r="E311" s="3"/>
      <c r="K311">
        <v>0.92400000000000004</v>
      </c>
      <c r="L311" s="3"/>
      <c r="M311" s="3"/>
    </row>
    <row r="312" spans="1:13" x14ac:dyDescent="0.25">
      <c r="A312" s="2" t="s">
        <v>315</v>
      </c>
      <c r="B312">
        <v>0.82</v>
      </c>
      <c r="C312">
        <v>0.86499999999999999</v>
      </c>
      <c r="E312" s="3"/>
      <c r="J312">
        <v>0.51300000000000001</v>
      </c>
      <c r="K312">
        <v>0.67200000000000004</v>
      </c>
      <c r="L312" s="3"/>
      <c r="M312" s="3"/>
    </row>
    <row r="313" spans="1:13" x14ac:dyDescent="0.25">
      <c r="A313" s="2" t="s">
        <v>316</v>
      </c>
      <c r="B313">
        <v>0.83699999999999997</v>
      </c>
      <c r="C313">
        <v>0.88100000000000001</v>
      </c>
      <c r="D313" s="3">
        <f>MEDIAN(B313:B319)</f>
        <v>0.84899999999999998</v>
      </c>
      <c r="E313" s="3">
        <f>MEDIAN(C313:C319)</f>
        <v>0.91200000000000003</v>
      </c>
      <c r="J313">
        <v>0.57399999999999995</v>
      </c>
      <c r="K313">
        <v>0.69499999999999995</v>
      </c>
      <c r="L313" s="3">
        <f>MEDIAN(J313:J319)</f>
        <v>0.72399999999999998</v>
      </c>
      <c r="M313" s="3">
        <f>MEDIAN(K313:K319)</f>
        <v>0.78700000000000003</v>
      </c>
    </row>
    <row r="314" spans="1:13" x14ac:dyDescent="0.25">
      <c r="A314" s="2" t="s">
        <v>317</v>
      </c>
      <c r="B314">
        <v>0.82799999999999996</v>
      </c>
      <c r="C314">
        <v>0.88100000000000001</v>
      </c>
      <c r="E314" s="3"/>
      <c r="J314">
        <v>0.53900000000000003</v>
      </c>
      <c r="K314">
        <v>0.69499999999999995</v>
      </c>
      <c r="L314" s="3"/>
      <c r="M314" s="3"/>
    </row>
    <row r="315" spans="1:13" x14ac:dyDescent="0.25">
      <c r="A315" s="2" t="s">
        <v>318</v>
      </c>
      <c r="B315">
        <v>0.72599999999999998</v>
      </c>
      <c r="C315">
        <v>0.77300000000000002</v>
      </c>
      <c r="E315" s="3"/>
      <c r="J315">
        <v>0.34499999999999997</v>
      </c>
      <c r="K315">
        <v>0.52700000000000002</v>
      </c>
      <c r="L315" s="3"/>
      <c r="M315" s="3"/>
    </row>
    <row r="316" spans="1:13" x14ac:dyDescent="0.25">
      <c r="A316" s="2" t="s">
        <v>319</v>
      </c>
      <c r="B316">
        <v>0.85799999999999998</v>
      </c>
      <c r="C316">
        <v>0.91200000000000003</v>
      </c>
      <c r="E316" s="3"/>
      <c r="J316">
        <v>0.72399999999999998</v>
      </c>
      <c r="K316">
        <v>0.79200000000000004</v>
      </c>
      <c r="L316" s="3"/>
      <c r="M316" s="3"/>
    </row>
    <row r="317" spans="1:13" x14ac:dyDescent="0.25">
      <c r="A317" s="2" t="s">
        <v>320</v>
      </c>
      <c r="B317">
        <v>0.84899999999999998</v>
      </c>
      <c r="C317">
        <v>0.91300000000000003</v>
      </c>
      <c r="E317" s="3"/>
      <c r="J317">
        <v>0.76400000000000001</v>
      </c>
      <c r="K317">
        <v>0.78700000000000003</v>
      </c>
      <c r="L317" s="3"/>
      <c r="M317" s="3"/>
    </row>
    <row r="318" spans="1:13" x14ac:dyDescent="0.25">
      <c r="A318" s="2" t="s">
        <v>321</v>
      </c>
      <c r="B318">
        <v>0.876</v>
      </c>
      <c r="C318">
        <v>0.92600000000000005</v>
      </c>
      <c r="E318" s="3"/>
      <c r="J318">
        <v>0.81499999999999995</v>
      </c>
      <c r="K318">
        <v>0.84599999999999997</v>
      </c>
      <c r="L318" s="3"/>
      <c r="M318" s="3"/>
    </row>
    <row r="319" spans="1:13" x14ac:dyDescent="0.25">
      <c r="A319" s="2" t="s">
        <v>322</v>
      </c>
      <c r="B319">
        <v>0.86299999999999999</v>
      </c>
      <c r="C319">
        <v>0.91800000000000004</v>
      </c>
      <c r="E319" s="3"/>
      <c r="J319">
        <v>0.73</v>
      </c>
      <c r="K319">
        <v>0.83</v>
      </c>
      <c r="L319" s="3"/>
      <c r="M319" s="3"/>
    </row>
    <row r="320" spans="1:13" x14ac:dyDescent="0.25">
      <c r="A320" s="2" t="s">
        <v>323</v>
      </c>
      <c r="B320">
        <v>0.79300000000000004</v>
      </c>
      <c r="C320">
        <v>0.81100000000000005</v>
      </c>
      <c r="D320" s="3">
        <f>MEDIAN(B320:B322)</f>
        <v>0.79300000000000004</v>
      </c>
      <c r="E320" s="3">
        <f>MEDIAN(C320:C322)</f>
        <v>0.81100000000000005</v>
      </c>
      <c r="J320">
        <v>0.46700000000000003</v>
      </c>
      <c r="K320">
        <v>0.56699999999999995</v>
      </c>
      <c r="L320" s="3">
        <f>MEDIAN(J320:J322)</f>
        <v>0.46700000000000003</v>
      </c>
      <c r="M320" s="3">
        <f>MEDIAN(K320:K322)</f>
        <v>0.56699999999999995</v>
      </c>
    </row>
    <row r="321" spans="1:13" x14ac:dyDescent="0.25">
      <c r="A321" s="2" t="s">
        <v>324</v>
      </c>
      <c r="B321">
        <v>0.84399999999999997</v>
      </c>
      <c r="C321">
        <v>0.89400000000000002</v>
      </c>
      <c r="E321" s="3"/>
      <c r="J321">
        <v>0.61599999999999999</v>
      </c>
      <c r="K321">
        <v>0.73099999999999998</v>
      </c>
      <c r="L321" s="3"/>
      <c r="M321" s="3"/>
    </row>
    <row r="322" spans="1:13" x14ac:dyDescent="0.25">
      <c r="A322" s="2" t="s">
        <v>325</v>
      </c>
      <c r="B322">
        <v>0.70899999999999996</v>
      </c>
      <c r="C322">
        <v>0.76900000000000002</v>
      </c>
      <c r="E322" s="3"/>
      <c r="J322">
        <v>0.3</v>
      </c>
      <c r="K322">
        <v>0.47599999999999998</v>
      </c>
      <c r="L322" s="3"/>
      <c r="M322" s="3"/>
    </row>
    <row r="323" spans="1:13" x14ac:dyDescent="0.25">
      <c r="A323" s="2" t="s">
        <v>326</v>
      </c>
      <c r="B323">
        <v>0.78800000000000003</v>
      </c>
      <c r="C323">
        <v>0.86499999999999999</v>
      </c>
      <c r="D323" s="3">
        <f>MEDIAN(B323:B336)</f>
        <v>0.80100000000000005</v>
      </c>
      <c r="E323" s="3">
        <f>MEDIAN(C323:C336)</f>
        <v>0.85199999999999998</v>
      </c>
      <c r="J323">
        <v>0.42399999999999999</v>
      </c>
      <c r="K323">
        <v>0.67200000000000004</v>
      </c>
      <c r="L323" s="3">
        <f>MEDIAN(J323:J336)</f>
        <v>0.51300000000000001</v>
      </c>
      <c r="M323" s="3">
        <f>MEDIAN(K323:K336)</f>
        <v>0.62349999999999994</v>
      </c>
    </row>
    <row r="324" spans="1:13" x14ac:dyDescent="0.25">
      <c r="A324" s="2" t="s">
        <v>327</v>
      </c>
      <c r="B324">
        <v>0.78500000000000003</v>
      </c>
      <c r="C324">
        <v>0.84499999999999997</v>
      </c>
      <c r="E324" s="3"/>
      <c r="J324">
        <v>0.52</v>
      </c>
      <c r="K324">
        <v>0.59499999999999997</v>
      </c>
      <c r="L324" s="3"/>
      <c r="M324" s="3"/>
    </row>
    <row r="325" spans="1:13" x14ac:dyDescent="0.25">
      <c r="A325" s="2" t="s">
        <v>328</v>
      </c>
      <c r="B325">
        <v>0.71899999999999997</v>
      </c>
      <c r="C325">
        <v>0.78400000000000003</v>
      </c>
      <c r="E325" s="3"/>
      <c r="J325">
        <v>0.30599999999999999</v>
      </c>
      <c r="K325">
        <v>0.46700000000000003</v>
      </c>
      <c r="L325" s="3"/>
      <c r="M325" s="3"/>
    </row>
    <row r="326" spans="1:13" x14ac:dyDescent="0.25">
      <c r="A326" s="2" t="s">
        <v>329</v>
      </c>
      <c r="C326">
        <v>0.76300000000000001</v>
      </c>
      <c r="E326" s="3"/>
      <c r="K326">
        <v>0.438</v>
      </c>
      <c r="L326" s="3"/>
      <c r="M326" s="3"/>
    </row>
    <row r="327" spans="1:13" x14ac:dyDescent="0.25">
      <c r="A327" s="2" t="s">
        <v>330</v>
      </c>
      <c r="B327">
        <v>0.876</v>
      </c>
      <c r="C327">
        <v>0.92600000000000005</v>
      </c>
      <c r="E327" s="3"/>
      <c r="J327">
        <v>0.81499999999999995</v>
      </c>
      <c r="K327">
        <v>0.84599999999999997</v>
      </c>
      <c r="L327" s="3"/>
      <c r="M327" s="3"/>
    </row>
    <row r="328" spans="1:13" x14ac:dyDescent="0.25">
      <c r="A328" s="2" t="s">
        <v>331</v>
      </c>
      <c r="B328">
        <v>0.70699999999999996</v>
      </c>
      <c r="C328">
        <v>0.76300000000000001</v>
      </c>
      <c r="E328" s="3"/>
      <c r="J328">
        <v>0.23300000000000001</v>
      </c>
      <c r="K328">
        <v>0.438</v>
      </c>
      <c r="L328" s="3"/>
      <c r="M328" s="3"/>
    </row>
    <row r="329" spans="1:13" x14ac:dyDescent="0.25">
      <c r="A329" s="2" t="s">
        <v>332</v>
      </c>
      <c r="B329">
        <v>0.83699999999999997</v>
      </c>
      <c r="C329">
        <v>0.89500000000000002</v>
      </c>
      <c r="E329" s="3"/>
      <c r="J329">
        <v>0.57399999999999995</v>
      </c>
      <c r="K329">
        <v>0.75</v>
      </c>
      <c r="L329" s="3"/>
      <c r="M329" s="3"/>
    </row>
    <row r="330" spans="1:13" x14ac:dyDescent="0.25">
      <c r="A330" s="2" t="s">
        <v>333</v>
      </c>
      <c r="B330">
        <v>0.84399999999999997</v>
      </c>
      <c r="C330">
        <v>0.89400000000000002</v>
      </c>
      <c r="E330" s="3"/>
      <c r="J330">
        <v>0.61599999999999999</v>
      </c>
      <c r="K330">
        <v>0.73099999999999998</v>
      </c>
      <c r="L330" s="3"/>
      <c r="M330" s="3"/>
    </row>
    <row r="331" spans="1:13" x14ac:dyDescent="0.25">
      <c r="A331" s="2" t="s">
        <v>334</v>
      </c>
      <c r="B331">
        <v>0.70699999999999996</v>
      </c>
      <c r="C331">
        <v>0.76300000000000001</v>
      </c>
      <c r="E331" s="3"/>
      <c r="J331">
        <v>0.23300000000000001</v>
      </c>
      <c r="K331">
        <v>0.438</v>
      </c>
      <c r="L331" s="3"/>
      <c r="M331" s="3"/>
    </row>
    <row r="332" spans="1:13" x14ac:dyDescent="0.25">
      <c r="A332" s="2" t="s">
        <v>335</v>
      </c>
      <c r="B332">
        <v>0.82099999999999995</v>
      </c>
      <c r="C332">
        <v>0.85199999999999998</v>
      </c>
      <c r="E332" s="3"/>
      <c r="J332">
        <v>0.51500000000000001</v>
      </c>
      <c r="K332">
        <v>0.629</v>
      </c>
      <c r="L332" s="3"/>
      <c r="M332" s="3"/>
    </row>
    <row r="333" spans="1:13" x14ac:dyDescent="0.25">
      <c r="A333" s="2" t="s">
        <v>336</v>
      </c>
      <c r="B333">
        <v>0.876</v>
      </c>
      <c r="C333">
        <v>0.92600000000000005</v>
      </c>
      <c r="E333" s="3"/>
      <c r="J333">
        <v>0.81499999999999995</v>
      </c>
      <c r="K333">
        <v>0.84599999999999997</v>
      </c>
      <c r="L333" s="3"/>
      <c r="M333" s="3"/>
    </row>
    <row r="334" spans="1:13" x14ac:dyDescent="0.25">
      <c r="A334" s="2" t="s">
        <v>337</v>
      </c>
      <c r="B334">
        <v>0.82</v>
      </c>
      <c r="C334">
        <v>0.85599999999999998</v>
      </c>
      <c r="E334" s="3"/>
      <c r="J334">
        <v>0.51300000000000001</v>
      </c>
      <c r="K334">
        <v>0.61799999999999999</v>
      </c>
      <c r="L334" s="3"/>
      <c r="M334" s="3"/>
    </row>
    <row r="335" spans="1:13" x14ac:dyDescent="0.25">
      <c r="A335" s="2" t="s">
        <v>338</v>
      </c>
      <c r="B335">
        <v>0.72699999999999998</v>
      </c>
      <c r="C335">
        <v>0.78600000000000003</v>
      </c>
      <c r="E335" s="3"/>
      <c r="J335">
        <v>0.34899999999999998</v>
      </c>
      <c r="K335">
        <v>0.52500000000000002</v>
      </c>
      <c r="L335" s="3"/>
      <c r="M335" s="3"/>
    </row>
    <row r="336" spans="1:13" x14ac:dyDescent="0.25">
      <c r="A336" s="2" t="s">
        <v>339</v>
      </c>
      <c r="B336">
        <v>0.80100000000000005</v>
      </c>
      <c r="C336">
        <v>0.85199999999999998</v>
      </c>
      <c r="E336" s="3"/>
      <c r="J336">
        <v>0.497</v>
      </c>
      <c r="K336">
        <v>0.629</v>
      </c>
      <c r="L336" s="3"/>
      <c r="M336" s="3"/>
    </row>
    <row r="337" spans="1:2" x14ac:dyDescent="0.25">
      <c r="A337" t="s">
        <v>340</v>
      </c>
      <c r="B337" t="s">
        <v>340</v>
      </c>
    </row>
    <row r="338" spans="1:2" x14ac:dyDescent="0.25">
      <c r="A338" t="s">
        <v>341</v>
      </c>
    </row>
    <row r="339" spans="1:2" x14ac:dyDescent="0.25">
      <c r="A339" t="s">
        <v>342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Almeida</cp:lastModifiedBy>
  <dcterms:created xsi:type="dcterms:W3CDTF">2026-06-04T03:24:28Z</dcterms:created>
  <dcterms:modified xsi:type="dcterms:W3CDTF">2026-06-04T04:09:27Z</dcterms:modified>
  <cp:category/>
</cp:coreProperties>
</file>