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ICHAU\Desktop\Coisas Pedro\UFRGS\TCC\IDHM E RENDA\"/>
    </mc:Choice>
  </mc:AlternateContent>
  <xr:revisionPtr revIDLastSave="0" documentId="13_ncr:1_{D19FAA51-6DCD-4898-A35B-BD3A8F5C462B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23" i="1" l="1"/>
  <c r="F320" i="1"/>
  <c r="F313" i="1"/>
  <c r="F310" i="1"/>
  <c r="F308" i="1"/>
  <c r="F306" i="1"/>
  <c r="F305" i="1"/>
  <c r="F304" i="1"/>
  <c r="F299" i="1"/>
  <c r="F297" i="1"/>
  <c r="F280" i="1"/>
  <c r="F278" i="1"/>
  <c r="F274" i="1"/>
  <c r="F271" i="1"/>
  <c r="F270" i="1"/>
  <c r="F269" i="1"/>
  <c r="F250" i="1"/>
  <c r="F246" i="1"/>
  <c r="F245" i="1"/>
  <c r="F244" i="1"/>
  <c r="F230" i="1"/>
  <c r="F228" i="1"/>
  <c r="F210" i="1"/>
  <c r="F208" i="1"/>
  <c r="F206" i="1"/>
  <c r="F203" i="1"/>
  <c r="F198" i="1"/>
  <c r="F196" i="1"/>
  <c r="F182" i="1"/>
  <c r="F174" i="1"/>
  <c r="F172" i="1"/>
  <c r="F169" i="1"/>
  <c r="F168" i="1"/>
  <c r="F167" i="1"/>
  <c r="F163" i="1"/>
  <c r="F162" i="1"/>
  <c r="F151" i="1"/>
  <c r="F144" i="1"/>
  <c r="F142" i="1"/>
  <c r="F138" i="1"/>
  <c r="F137" i="1"/>
  <c r="F133" i="1"/>
  <c r="F132" i="1"/>
  <c r="F130" i="1"/>
  <c r="F129" i="1"/>
  <c r="F127" i="1"/>
  <c r="F125" i="1"/>
  <c r="F121" i="1"/>
  <c r="F119" i="1"/>
  <c r="F109" i="1"/>
  <c r="F106" i="1"/>
  <c r="F102" i="1"/>
  <c r="F97" i="1"/>
  <c r="F96" i="1"/>
  <c r="F93" i="1"/>
  <c r="F91" i="1"/>
  <c r="F88" i="1"/>
  <c r="F87" i="1"/>
  <c r="F84" i="1"/>
  <c r="F80" i="1"/>
  <c r="F79" i="1"/>
  <c r="F68" i="1"/>
  <c r="F67" i="1"/>
  <c r="F65" i="1"/>
  <c r="F64" i="1"/>
  <c r="F63" i="1"/>
  <c r="F59" i="1"/>
  <c r="F53" i="1"/>
  <c r="F46" i="1"/>
  <c r="F44" i="1"/>
  <c r="F39" i="1"/>
  <c r="F32" i="1"/>
  <c r="F31" i="1"/>
  <c r="F29" i="1"/>
  <c r="F26" i="1"/>
  <c r="F19" i="1"/>
  <c r="F18" i="1"/>
  <c r="F16" i="1"/>
  <c r="F15" i="1"/>
  <c r="F9" i="1"/>
  <c r="F8" i="1"/>
  <c r="F2" i="1"/>
  <c r="C323" i="1"/>
  <c r="C320" i="1"/>
  <c r="C313" i="1"/>
  <c r="C310" i="1"/>
  <c r="C308" i="1"/>
  <c r="C306" i="1"/>
  <c r="C305" i="1"/>
  <c r="C304" i="1"/>
  <c r="C299" i="1"/>
  <c r="C297" i="1"/>
  <c r="C280" i="1"/>
  <c r="C278" i="1"/>
  <c r="C274" i="1"/>
  <c r="C271" i="1"/>
  <c r="C270" i="1"/>
  <c r="C269" i="1"/>
  <c r="C250" i="1"/>
  <c r="C246" i="1"/>
  <c r="C245" i="1"/>
  <c r="C244" i="1"/>
  <c r="C230" i="1"/>
  <c r="C228" i="1"/>
  <c r="C210" i="1"/>
  <c r="C208" i="1"/>
  <c r="C206" i="1"/>
  <c r="C203" i="1"/>
  <c r="C198" i="1"/>
  <c r="C196" i="1"/>
  <c r="C182" i="1"/>
  <c r="C174" i="1"/>
  <c r="C172" i="1"/>
  <c r="C169" i="1"/>
  <c r="C168" i="1"/>
  <c r="C167" i="1"/>
  <c r="C163" i="1"/>
  <c r="C162" i="1"/>
  <c r="C151" i="1"/>
  <c r="C144" i="1"/>
  <c r="C142" i="1"/>
  <c r="C138" i="1"/>
  <c r="C137" i="1"/>
  <c r="C133" i="1"/>
  <c r="C132" i="1"/>
  <c r="C130" i="1"/>
  <c r="C129" i="1"/>
  <c r="C127" i="1"/>
  <c r="C125" i="1"/>
  <c r="C121" i="1"/>
  <c r="C119" i="1"/>
  <c r="C109" i="1"/>
  <c r="C106" i="1"/>
  <c r="C102" i="1"/>
  <c r="C97" i="1"/>
  <c r="C96" i="1"/>
  <c r="C93" i="1"/>
  <c r="C91" i="1"/>
  <c r="C88" i="1"/>
  <c r="C87" i="1"/>
  <c r="C84" i="1"/>
  <c r="C80" i="1"/>
  <c r="C79" i="1"/>
  <c r="C68" i="1"/>
  <c r="C67" i="1"/>
  <c r="C65" i="1"/>
  <c r="C64" i="1"/>
  <c r="C63" i="1"/>
  <c r="C59" i="1"/>
  <c r="C53" i="1"/>
  <c r="C46" i="1"/>
  <c r="C44" i="1"/>
  <c r="C39" i="1"/>
  <c r="C32" i="1"/>
  <c r="C31" i="1"/>
  <c r="C29" i="1"/>
  <c r="C26" i="1"/>
  <c r="C19" i="1"/>
  <c r="C18" i="1"/>
  <c r="C16" i="1"/>
  <c r="C15" i="1"/>
  <c r="C9" i="1"/>
  <c r="C8" i="1"/>
  <c r="C2" i="1"/>
</calcChain>
</file>

<file path=xl/sharedStrings.xml><?xml version="1.0" encoding="utf-8"?>
<sst xmlns="http://schemas.openxmlformats.org/spreadsheetml/2006/main" count="344" uniqueCount="343">
  <si>
    <t>Territorialidades</t>
  </si>
  <si>
    <t>Renda per capita 2000</t>
  </si>
  <si>
    <t>Renda per capita 2010</t>
  </si>
  <si>
    <t>Agronomia ( bairro ) (Porto Alegre,  - Porto Alegre)</t>
  </si>
  <si>
    <t>Agronomia : Campus do Vale UFRGS (Porto Alegre,  - Porto Alegre)</t>
  </si>
  <si>
    <t>Agronomia : Lomba (Porto Alegre,  - Porto Alegre)</t>
  </si>
  <si>
    <t>Agronomia : Vila Biriba (Porto Alegre,  - Porto Alegre)</t>
  </si>
  <si>
    <t>Agronomia : Vila Esmeralda (Porto Alegre,  - Porto Alegre)</t>
  </si>
  <si>
    <t>Agronomia : Vila Moro dos Índios / Beco dos Cafunchos (Porto Alegre,  - Porto Alegre)</t>
  </si>
  <si>
    <t>Anchieta ( bairro ) (Porto Alegre,  - Porto Alegre)</t>
  </si>
  <si>
    <t>Arquipélago : Flores / Pintada ( sul ) / Casa da Pólvora (Porto Alegre,  - Porto Alegre)</t>
  </si>
  <si>
    <t>Arquipélago : Ilha da Pintada ( norte ) (Porto Alegre,  - Porto Alegre)</t>
  </si>
  <si>
    <t>Arquipélago : Ilha da Pintada (Porto Alegre,  - Porto Alegre)</t>
  </si>
  <si>
    <t>Arquipélago : Ilha Grande dos Marinheiros (Porto Alegre,  - Porto Alegre)</t>
  </si>
  <si>
    <t>Arquipélago : Ilhas do Pavão, dos Marinheiros e Flores ( norte ) / João Inácio da Silveira (Porto Alegre,  - Porto Alegre)</t>
  </si>
  <si>
    <t>Arquipélago : Ilhas do Pavão e dos Marinheiros (Porto Alegre,  - Porto Alegre)</t>
  </si>
  <si>
    <t>Auxiliadora (Porto Alegre,  - Porto Alegre)</t>
  </si>
  <si>
    <t>Azenha ( bairro ) (Porto Alegre,  - Porto Alegre)</t>
  </si>
  <si>
    <t>Azenha : Loteamento Princesa Izabel (Porto Alegre,  - Porto Alegre)</t>
  </si>
  <si>
    <t>Bela Vista (Porto Alegre,  - Porto Alegre)</t>
  </si>
  <si>
    <t>Belém Novo ( bairro ) (Porto Alegre,  - Porto Alegre)</t>
  </si>
  <si>
    <t>Belém Novo : Boa Vista (Porto Alegre,  - Porto Alegre)</t>
  </si>
  <si>
    <t>Belém Novo : Juca Batista / Melo Guimarães / Flores da Cunha / Nossa Senhora de Belém / Linguiça / Trip (Porto Alegre,  - Porto Alegre)</t>
  </si>
  <si>
    <t>Belém Novo : Leblon / Copacabana / Veludo / Chavante / Amizade (Porto Alegre,  - Porto Alegre)</t>
  </si>
  <si>
    <t>Belém Novo : Mário Carvalho (Porto Alegre,  - Porto Alegre)</t>
  </si>
  <si>
    <t>Belém Novo : Vila Esperança (Porto Alegre,  - Porto Alegre)</t>
  </si>
  <si>
    <t>Belém Novo : Vila Julia / Giulian (Porto Alegre,  - Porto Alegre)</t>
  </si>
  <si>
    <t>Belém Velho : Boqueirão / Watanabe (Porto Alegre,  - Porto Alegre)</t>
  </si>
  <si>
    <t>Belém Velho : Condomínio Mariante (Porto Alegre,  - Porto Alegre)</t>
  </si>
  <si>
    <t>Belém Velho : Hospital Parque Belém (Porto Alegre,  - Porto Alegre)</t>
  </si>
  <si>
    <t>Boa Vista ( bairro ) (Porto Alegre,  - Porto Alegre)</t>
  </si>
  <si>
    <t>Boa Vista : Núcleo Anita (Porto Alegre,  - Porto Alegre)</t>
  </si>
  <si>
    <t>Bom Fim (Porto Alegre,  - Porto Alegre)</t>
  </si>
  <si>
    <t>Bom Jesus : Carumbé (Porto Alegre,  - Porto Alegre)</t>
  </si>
  <si>
    <t>Bom Jesus : CEEE (Porto Alegre,  - Porto Alegre)</t>
  </si>
  <si>
    <t>Bom Jesus : Panamá / USB Bom Jesus (Porto Alegre,  - Porto Alegre)</t>
  </si>
  <si>
    <t>Bom Jesus : Patagonia (Porto Alegre,  - Porto Alegre)</t>
  </si>
  <si>
    <t>Bom Jesus : Santa Izabel (Porto Alegre,  - Porto Alegre)</t>
  </si>
  <si>
    <t>Bom Jesus : São Mateus (Porto Alegre,  - Porto Alegre)</t>
  </si>
  <si>
    <t>Bom Jesus : Vila Mato Sampaio / Divinéia / Fátima (Porto Alegre,  - Porto Alegre)</t>
  </si>
  <si>
    <t>Camaquã : Bazílio Pellin Filho / Jardim Camaquã (Porto Alegre,  - Porto Alegre)</t>
  </si>
  <si>
    <t>Camaquã : Delfina da Cunha (Porto Alegre,  - Porto Alegre)</t>
  </si>
  <si>
    <t>Camaquã : Otto Niemeyer / Teotônia (Porto Alegre,  - Porto Alegre)</t>
  </si>
  <si>
    <t>Camaquã : Travessa Escobar (Porto Alegre,  - Porto Alegre)</t>
  </si>
  <si>
    <t>Camaquã : Vila São Vicente Martir (Porto Alegre,  - Porto Alegre)</t>
  </si>
  <si>
    <t>Campo Novo ( bairro ) (Porto Alegre,  - Porto Alegre)</t>
  </si>
  <si>
    <t>Campo Novo : Vila Chapatral (Porto Alegre,  - Porto Alegre)</t>
  </si>
  <si>
    <t>Cascata : Alpes (Porto Alegre,  - Porto Alegre)</t>
  </si>
  <si>
    <t>Cascata : Ascenção (Porto Alegre,  - Porto Alegre)</t>
  </si>
  <si>
    <t>Cascata : Canudos / Batillanas (Porto Alegre,  - Porto Alegre)</t>
  </si>
  <si>
    <t>Cascata : Santiago Dantas (Porto Alegre,  - Porto Alegre)</t>
  </si>
  <si>
    <t>Cascata : São Lourenço (Porto Alegre,  - Porto Alegre)</t>
  </si>
  <si>
    <t>Cascata : Vila Graciliano Ramos (Porto Alegre,  - Porto Alegre)</t>
  </si>
  <si>
    <t>Cascata : Vila Nossa Senhora da Glória (Porto Alegre,  - Porto Alegre)</t>
  </si>
  <si>
    <t>Cavalhada : Av. Vicente Monteggia (Porto Alegre,  - Porto Alegre)</t>
  </si>
  <si>
    <t>Cavalhada ( bairro ) (Porto Alegre,  - Porto Alegre)</t>
  </si>
  <si>
    <t>Cavalhada : Cidade de Deus (Porto Alegre,  - Porto Alegre)</t>
  </si>
  <si>
    <t>Cavalhada : Jardim das Palmeiras (Porto Alegre,  - Porto Alegre)</t>
  </si>
  <si>
    <t>Cavalhada : Loteamento Cavalhada (Porto Alegre,  - Porto Alegre)</t>
  </si>
  <si>
    <t>Cavalhada : Vila Santa Efigênia (Porto Alegre,  - Porto Alegre)</t>
  </si>
  <si>
    <t>Cel Aparício Borges : Chácara do Primeiro / Pantanal / Saibreira (Porto Alegre,  - Porto Alegre)</t>
  </si>
  <si>
    <t>Cel Aparício Borges : Sargento Witt / Chácara das Bananeiras (Porto Alegre,  - Porto Alegre)</t>
  </si>
  <si>
    <t>Cel Aparício Borges : Veiga / Guedes da Luz (Porto Alegre,  - Porto Alegre)</t>
  </si>
  <si>
    <t>Cel Aparício Borges : Volta da Cobra / Linha de Tiro I e II (Porto Alegre,  - Porto Alegre)</t>
  </si>
  <si>
    <t>Centro Histórico (Porto Alegre,  - Porto Alegre)</t>
  </si>
  <si>
    <t>Chácara das Pedras (Porto Alegre,  - Porto Alegre)</t>
  </si>
  <si>
    <t>Chapéu do Sol ( bairro ) (Porto Alegre,  - Porto Alegre)</t>
  </si>
  <si>
    <t>Chapéu do Sol : Becos Pradinho / Nestlé / Sabino (Porto Alegre,  - Porto Alegre)</t>
  </si>
  <si>
    <t>Cidade Baixa (Porto Alegre,  - Porto Alegre)</t>
  </si>
  <si>
    <t>Cristal : Angelo Corso (Porto Alegre,  - Porto Alegre)</t>
  </si>
  <si>
    <t>Cristal : Av. Doutor Campos Velho (Porto Alegre,  - Porto Alegre)</t>
  </si>
  <si>
    <t>Cristal : Bororó (Porto Alegre,  - Porto Alegre)</t>
  </si>
  <si>
    <t>Cristal : Coronel Claudino / Chico Pedro (Porto Alegre,  - Porto Alegre)</t>
  </si>
  <si>
    <t>Cristal : Diário de Notícias / Estaleiro (Porto Alegre,  - Porto Alegre)</t>
  </si>
  <si>
    <t>Cristal : Museu Iberê Camargo (Porto Alegre,  - Porto Alegre)</t>
  </si>
  <si>
    <t>Cristal : Pedreira (Porto Alegre,  - Porto Alegre)</t>
  </si>
  <si>
    <t>Cristal : Resbalo (Porto Alegre,  - Porto Alegre)</t>
  </si>
  <si>
    <t>Cristal : São Martilho (Porto Alegre,  - Porto Alegre)</t>
  </si>
  <si>
    <t>Cristal : Vila Cristal (Porto Alegre,  - Porto Alegre)</t>
  </si>
  <si>
    <t>Cristal : Vila Massot (Porto Alegre,  - Porto Alegre)</t>
  </si>
  <si>
    <t>Cristo Redentor (Porto Alegre,  - Porto Alegre)</t>
  </si>
  <si>
    <t>Espírito Santo : Altos do Ipê (Porto Alegre,  - Porto Alegre)</t>
  </si>
  <si>
    <t>Espírito Santo : Guaranis (Porto Alegre,  - Porto Alegre)</t>
  </si>
  <si>
    <t>Espírito Santo : Jardim Esplanada (Porto Alegre,  - Porto Alegre)</t>
  </si>
  <si>
    <t>Espírito Santo : Joaquim Felizardo (Porto Alegre,  - Porto Alegre)</t>
  </si>
  <si>
    <t>Farrapos : Famello (Porto Alegre,  - Porto Alegre)</t>
  </si>
  <si>
    <t>Farrapos : SESI / Igreja Santíssima Trindade (Porto Alegre,  - Porto Alegre)</t>
  </si>
  <si>
    <t>Farrapos : Vila Liberdade e Tio Zeca (Porto Alegre,  - Porto Alegre)</t>
  </si>
  <si>
    <t>Farroupilha (Porto Alegre,  - Porto Alegre)</t>
  </si>
  <si>
    <t>Floresta ( bairro ) (Porto Alegre,  - Porto Alegre)</t>
  </si>
  <si>
    <t>Floresta : Loteamento Santa Terezinha / Vila Central (Porto Alegre,  - Porto Alegre)</t>
  </si>
  <si>
    <t>Floresta : Marques do Pombal (Porto Alegre,  - Porto Alegre)</t>
  </si>
  <si>
    <t>Glória ( bairro ) (Porto Alegre,  - Porto Alegre)</t>
  </si>
  <si>
    <t>Glória : Vila Colina Verde (Porto Alegre,  - Porto Alegre)</t>
  </si>
  <si>
    <t>Guarujá ( bairro ) (Porto Alegre,  - Porto Alegre)</t>
  </si>
  <si>
    <t>Guarujá : Vila Guarujá / Santina (Porto Alegre,  - Porto Alegre)</t>
  </si>
  <si>
    <t>Guarujá : Vila Oliveira / Beco do Picapau / Beco Guará (Porto Alegre,  - Porto Alegre)</t>
  </si>
  <si>
    <t>Higienópolis (Porto Alegre,  - Porto Alegre)</t>
  </si>
  <si>
    <t>Hípica : Beco do Adelar (Porto Alegre,  - Porto Alegre)</t>
  </si>
  <si>
    <t>Hípica : Edgar Pires de Castro / Juca Batista / Dorival Castilho Machado (Porto Alegre,  - Porto Alegre)</t>
  </si>
  <si>
    <t>Hípica : Edgar Pires de Castro / Sérgio Stimamilo (Porto Alegre,  - Porto Alegre)</t>
  </si>
  <si>
    <t>Hípica : Moradas da Hípica (Porto Alegre,  - Porto Alegre)</t>
  </si>
  <si>
    <t>Hípica : Vila Guabiroba / Juca Batista 6005 (Porto Alegre,  - Porto Alegre)</t>
  </si>
  <si>
    <t>Humaitá : Jardim Tulipa (Porto Alegre,  - Porto Alegre)</t>
  </si>
  <si>
    <t>Humaitá : Parque Mascarenhas (Porto Alegre,  - Porto Alegre)</t>
  </si>
  <si>
    <t>Humaitá : Vila Dona Teodora / Ferroviários (Porto Alegre,  - Porto Alegre)</t>
  </si>
  <si>
    <t>Humaitá : Vila Santo André / Adubos Trevo (Porto Alegre,  - Porto Alegre)</t>
  </si>
  <si>
    <t>Independência : André Puente (Porto Alegre,  - Porto Alegre)</t>
  </si>
  <si>
    <t>Independência : Barros Cassal (Porto Alegre,  - Porto Alegre)</t>
  </si>
  <si>
    <t>Independência : Vasco da Gama (Porto Alegre,  - Porto Alegre)</t>
  </si>
  <si>
    <t>Ipanema ( bairro) (Porto Alegre,  - Porto Alegre)</t>
  </si>
  <si>
    <t>Ipanema : Cavalhada (Porto Alegre,  - Porto Alegre)</t>
  </si>
  <si>
    <t>Ipanema : Coronel Marcos / Ipanema Sports (Porto Alegre,  - Porto Alegre)</t>
  </si>
  <si>
    <t>Ipanema : Dea Coufal / Parque Residencial Knorr / Jardim do Sol (Porto Alegre,  - Porto Alegre)</t>
  </si>
  <si>
    <t>Ipanema : Morro Alto (Porto Alegre,  - Porto Alegre)</t>
  </si>
  <si>
    <t>Ipanema : Morro do Osso (Porto Alegre,  - Porto Alegre)</t>
  </si>
  <si>
    <t>Ipanema : Roseira (Porto Alegre,  - Porto Alegre)</t>
  </si>
  <si>
    <t>Ipanema : Rossatos / Biazetto (Porto Alegre,  - Porto Alegre)</t>
  </si>
  <si>
    <t>Ipanema : Tapete Verde / Jardim Verde / Parque Imperial (Porto Alegre,  - Porto Alegre)</t>
  </si>
  <si>
    <t>Ipanema : Vila Mutirantes V (Porto Alegre,  - Porto Alegre)</t>
  </si>
  <si>
    <t>Jardim Botânico ( bairro ) (Porto Alegre,  - Porto Alegre)</t>
  </si>
  <si>
    <t>Jardim Botânico : Doutor Juliano Moreira (Porto Alegre,  - Porto Alegre)</t>
  </si>
  <si>
    <t>Jardim Carvalho : CEFER (Porto Alegre,  - Porto Alegre)</t>
  </si>
  <si>
    <t>Jardim Carvalho : Colina do Prado / Grécia (Porto Alegre,  - Porto Alegre)</t>
  </si>
  <si>
    <t>Jardim Carvalho : Jardim Itália / Plano 100 (Porto Alegre,  - Porto Alegre)</t>
  </si>
  <si>
    <t>Jardim Carvalho : Terra Mater (Porto Alegre,  - Porto Alegre)</t>
  </si>
  <si>
    <t>Jardim do Salso : Cristiano Fischer (Porto Alegre,  - Porto Alegre)</t>
  </si>
  <si>
    <t>Jardim do Salso : São Benedito (Porto Alegre,  - Porto Alegre)</t>
  </si>
  <si>
    <t>Jardim Floresta : Conselheiro D’Ávila (Porto Alegre,  - Porto Alegre)</t>
  </si>
  <si>
    <t>Jardim Floresta : Praça Tamoio (Porto Alegre,  - Porto Alegre)</t>
  </si>
  <si>
    <t>Jardim Isabel (Porto Alegre,  - Porto Alegre)</t>
  </si>
  <si>
    <t>Jardim Itu : Luiz Carvalho (Porto Alegre,  - Porto Alegre)</t>
  </si>
  <si>
    <t>Jardim Itu : Rua Paul Harris (Porto Alegre,  - Porto Alegre)</t>
  </si>
  <si>
    <t>Jardim Lindóia (Porto Alegre,  - Porto Alegre)</t>
  </si>
  <si>
    <t>Jardim Sabará : Otávio dos Santos / Guadalajara (Porto Alegre,  - Porto Alegre)</t>
  </si>
  <si>
    <t>Jardim Sabará : Parque do Sol (Porto Alegre,  - Porto Alegre)</t>
  </si>
  <si>
    <t>Jardim Sabará : Vila Ernesto Pellanda (Porto Alegre,  - Porto Alegre)</t>
  </si>
  <si>
    <t>Jardim Sabará : Vila Margarita (Porto Alegre,  - Porto Alegre)</t>
  </si>
  <si>
    <t>Jardim São Pedro (Porto Alegre,  - Porto Alegre)</t>
  </si>
  <si>
    <t>Lageado ( bairro) (Porto Alegre,  - Porto Alegre)</t>
  </si>
  <si>
    <t>Lageado : Beco da Vitória (Porto Alegre,  - Porto Alegre)</t>
  </si>
  <si>
    <t>Lageado : Costa do Cerro / Beco do Parafuso (Porto Alegre,  - Porto Alegre)</t>
  </si>
  <si>
    <t>Lageado : São Caetano / Jardim Europa (Extrema) / Canta Galo / Varejão / Quirinas (Porto Alegre,  - Porto Alegre)</t>
  </si>
  <si>
    <t>Lami : Beira Rio / Sapolandia / Ocupação Arroio Manecão (Porto Alegre,  - Porto Alegre)</t>
  </si>
  <si>
    <t>Lami : Ocupação Otaviano Jose Pinto / Pontal / Reserva Biológica (Porto Alegre,  - Porto Alegre)</t>
  </si>
  <si>
    <t>Lomba do Pinheiro ( bairro ) (Porto Alegre,  - Porto Alegre)</t>
  </si>
  <si>
    <t>Lomba do Pinheiro : Loteamento Quinta do Portal / Cooperativa Habitacional (Porto Alegre,  - Porto Alegre)</t>
  </si>
  <si>
    <t>Lomba do Pinheiro : Parque dos Eucaliptos / Vila Pitinga (Porto Alegre,  - Porto Alegre)</t>
  </si>
  <si>
    <t>Lomba do Pinheiro : Rarefeita (Porto Alegre,  - Porto Alegre)</t>
  </si>
  <si>
    <t>Lomba do Pinheiro : Taquara / Marau / Cacimbas (Porto Alegre,  - Porto Alegre)</t>
  </si>
  <si>
    <t>Lomba do Pinheiro : Vila Mapa II / Elo Perdido (Porto Alegre,  - Porto Alegre)</t>
  </si>
  <si>
    <t>Lomba do Pinheiro : Vila Recreio da Divisa / Nova Serra Verde / Vila Rocha (Porto Alegre,  - Porto Alegre)</t>
  </si>
  <si>
    <t>Mário Quintana : Batista Flores (Porto Alegre,  - Porto Alegre)</t>
  </si>
  <si>
    <t>Mário Quintana : Chico Mendes (Porto Alegre,  - Porto Alegre)</t>
  </si>
  <si>
    <t>Mário Quintana : Condomínio Amizade / Cooperativa Renascer / Rossi Empreendimentos / Residencial Machado (Porto Alegre,  - Porto Alegre)</t>
  </si>
  <si>
    <t>Mário Quintana : Loteamento Parque das Orquídeas / Vilas Mimo de Vênus / Athenis / Jardim Protásio Alves II (Porto Alegre,  - Porto Alegre)</t>
  </si>
  <si>
    <t>Mário Quintana : Loteamento Verdes Campos (Porto Alegre,  - Porto Alegre)</t>
  </si>
  <si>
    <t>Mário Quintana : Recanto do Sabiá (Porto Alegre,  - Porto Alegre)</t>
  </si>
  <si>
    <t>Mário Quintana : Safira Nova (Porto Alegre,  - Porto Alegre)</t>
  </si>
  <si>
    <t>Mário Quintana : Timbaúva I, II e III / Wenceslau Fontoura (Porto Alegre,  - Porto Alegre)</t>
  </si>
  <si>
    <t>Mário Quintana : Vila Jardim Protásio Alves (Porto Alegre,  - Porto Alegre)</t>
  </si>
  <si>
    <t>Mário Quintana : Vila Safira / Safira Nova / Batista Flores (Porto Alegre,  - Porto Alegre)</t>
  </si>
  <si>
    <t>Mário Quintana : Vilas João Goulart / Santana II / Eucaliptos / Mutirão / Chico Mendes / Valneri Antunes / Jardim Leopoldina III (Porto Alegre,  - Porto Alegre)</t>
  </si>
  <si>
    <t>Medianeira (Porto Alegre,  - Porto Alegre)</t>
  </si>
  <si>
    <t>Menino Deus ( bairro ) (Porto Alegre,  - Porto Alegre)</t>
  </si>
  <si>
    <t>Menino Deus : Condomínio Lupicínio Rodrigues (Porto Alegre,  - Porto Alegre)</t>
  </si>
  <si>
    <t>Menino Deus : Ganzo / Visconde do Herval (Porto Alegre,  - Porto Alegre)</t>
  </si>
  <si>
    <t>Menino Deus : Luiz Guaragna (Porto Alegre,  - Porto Alegre)</t>
  </si>
  <si>
    <t>Moinhos de Vento (Porto Alegre,  - Porto Alegre)</t>
  </si>
  <si>
    <t>Mont´Serrat (Porto Alegre,  - Porto Alegre)</t>
  </si>
  <si>
    <t>Morro Santana : FAPA (Porto Alegre,  - Porto Alegre)</t>
  </si>
  <si>
    <t>Morro Santana : Protásio / Verde Hugo Livi (Porto Alegre,  - Porto Alegre)</t>
  </si>
  <si>
    <t>Morro Santana : Vila Laranjeiras / Tijuca (Porto Alegre,  - Porto Alegre)</t>
  </si>
  <si>
    <t>Navagantes ( bairro ) (Porto Alegre,  - Porto Alegre)</t>
  </si>
  <si>
    <t>Navagantes : DC Navegantes / Casa de Passagem (Porto Alegre,  - Porto Alegre)</t>
  </si>
  <si>
    <t>Nonoai ( bairro ) (Porto Alegre,  - Porto Alegre)</t>
  </si>
  <si>
    <t>Nonoai : Beco do Sorrisso / Menezes Paredes (Porto Alegre,  - Porto Alegre)</t>
  </si>
  <si>
    <t>Nonoai : Cachoeira (Porto Alegre,  - Porto Alegre)</t>
  </si>
  <si>
    <t>Nonoai : Chácara Sperb / Alto Erechim (Porto Alegre,  - Porto Alegre)</t>
  </si>
  <si>
    <t>Nonoai : Dario Totta (Porto Alegre,  - Porto Alegre)</t>
  </si>
  <si>
    <t>Nonoai : Morro Teresópolis (Porto Alegre,  - Porto Alegre)</t>
  </si>
  <si>
    <t>Nonoai : Teresópolis (Porto Alegre,  - Porto Alegre)</t>
  </si>
  <si>
    <t>Nonoai : Vila Vicente Monteggia (Porto Alegre,  - Porto Alegre)</t>
  </si>
  <si>
    <t>Partenon : Batista Xavier / Manoel Vitorino (Porto Alegre,  - Porto Alegre)</t>
  </si>
  <si>
    <t>Partenon : Carlos De Laet (Porto Alegre,  - Porto Alegre)</t>
  </si>
  <si>
    <t>Partenon : Cosme e Damião (Porto Alegre,  - Porto Alegre)</t>
  </si>
  <si>
    <t>Partenon : Frei Germano / Jardim Guanabara / Intercap (Porto Alegre,  - Porto Alegre)</t>
  </si>
  <si>
    <t>Partenon : João Bonuma / Capitão Cristalino Fagundes (Porto Alegre,  - Porto Alegre)</t>
  </si>
  <si>
    <t>Partenon : Padre Tedesco / Nelson Zang (Porto Alegre,  - Porto Alegre)</t>
  </si>
  <si>
    <t>Partenon : Partenon Tênis Clube (Porto Alegre,  - Porto Alegre)</t>
  </si>
  <si>
    <t>Partenon : Praça Franklin Verissimo (Porto Alegre,  - Porto Alegre)</t>
  </si>
  <si>
    <t>Partenon : São Guilherme / Luizinha / Tijuca (Porto Alegre,  - Porto Alegre)</t>
  </si>
  <si>
    <t>Partenon : Vila Cachorro Sentado / São Judas Tadeu / Salvador França (Porto Alegre,  - Porto Alegre)</t>
  </si>
  <si>
    <t>Partenon : Vila Ceres (Porto Alegre,  - Porto Alegre)</t>
  </si>
  <si>
    <t>Partenon : Vila Maria da Conceição (Nossa Senhora do Brasil) (Porto Alegre,  - Porto Alegre)</t>
  </si>
  <si>
    <t>Partenon : Vila Maria da Conceição (Parque Casa da Criança) (Porto Alegre,  - Porto Alegre)</t>
  </si>
  <si>
    <t>Partenon : Vila Santa Clara (Porto Alegre,  - Porto Alegre)</t>
  </si>
  <si>
    <t>Passo d’Areia : Country Club / Cosme e Galvão / Vila Keddie (Porto Alegre,  - Porto Alegre)</t>
  </si>
  <si>
    <t>Passo d’Areia : Vila do IAPI / Obirici (Porto Alegre,  - Porto Alegre)</t>
  </si>
  <si>
    <t>Passo das Pedras : Jardim dos Coqueiros II (Porto Alegre,  - Porto Alegre)</t>
  </si>
  <si>
    <t>Passo das Pedras : Jardim Planalto I (Porto Alegre,  - Porto Alegre)</t>
  </si>
  <si>
    <t>Passo das Pedras : Passo das Pedras II (Porto Alegre,  - Porto Alegre)</t>
  </si>
  <si>
    <t>Passo das Pedras : Vila Ingá / Jardim Planalto II (Porto Alegre,  - Porto Alegre)</t>
  </si>
  <si>
    <t>Passo das Pedras : Vila Passo das Pedras I e II (Porto Alegre,  - Porto Alegre)</t>
  </si>
  <si>
    <t>Petrópolis : Av. Antônio Carlos Tibiriça (Porto Alegre,  - Porto Alegre)</t>
  </si>
  <si>
    <t>Petrópolis : Av. Ferreira Viana (Porto Alegre,  - Porto Alegre)</t>
  </si>
  <si>
    <t>Petrópolis : Av. Ijuí / Grêmio Naútico União (Porto Alegre,  - Porto Alegre)</t>
  </si>
  <si>
    <t>Ponta Grossa : Retiro da Ponta Grossa (Porto Alegre,  - Porto Alegre)</t>
  </si>
  <si>
    <t>Ponta Grossa : Vila Túnel Verde / Estrada Ponta Grossa / Jardim Santa Mônica (Porto Alegre,  - Porto Alegre)</t>
  </si>
  <si>
    <t>Praia de Belas ( bairro ) (Porto Alegre,  - Porto Alegre)</t>
  </si>
  <si>
    <t>Praia de Belas : Vila Chocolatão / Vila Aldeia (Porto Alegre,  - Porto Alegre)</t>
  </si>
  <si>
    <t>Restinga : Chácara do Banco (Porto Alegre,  - Porto Alegre)</t>
  </si>
  <si>
    <t>Restinga : Governador Walter Perachi ( 4ª Unidade ) (Porto Alegre,  - Porto Alegre)</t>
  </si>
  <si>
    <t>Restinga : Morro Sul (Porto Alegre,  - Porto Alegre)</t>
  </si>
  <si>
    <t>Restinga : Pires de Castro (Porto Alegre,  - Porto Alegre)</t>
  </si>
  <si>
    <t>Restinga : Pitinga (Porto Alegre,  - Porto Alegre)</t>
  </si>
  <si>
    <t>Restinga : Quinta Unidade (Porto Alegre,  - Porto Alegre)</t>
  </si>
  <si>
    <t>Restinga : Restinga Nova ( 1ª Unidade ) (Porto Alegre,  - Porto Alegre)</t>
  </si>
  <si>
    <t>Restinga : Restinga Nova ( 3ª Unidade ) / Distrito Industrial (Porto Alegre,  - Porto Alegre)</t>
  </si>
  <si>
    <t>Restinga : Restinga Nova ( 3ª Unidade ) / Nilo Wulf (Porto Alegre,  - Porto Alegre)</t>
  </si>
  <si>
    <t>Restinga : Restinga Nova / Área Fleck / Strighini / Vale do Salso / Rincão (Porto Alegre,  - Porto Alegre)</t>
  </si>
  <si>
    <t>Restinga : Restinga Nova / Ignes Fagundes (Porto Alegre,  - Porto Alegre)</t>
  </si>
  <si>
    <t>Restinga : Restinga Velha / Castelo Pedroso (Porto Alegre,  - Porto Alegre)</t>
  </si>
  <si>
    <t>Restinga : Restinga Velha / Elo Perdido (Porto Alegre,  - Porto Alegre)</t>
  </si>
  <si>
    <t>Restinga : Restinga Velha (Porto Alegre,  - Porto Alegre)</t>
  </si>
  <si>
    <t>Restinga : Vale do Salso (Porto Alegre,  - Porto Alegre)</t>
  </si>
  <si>
    <t>Restinga : Vila Baltimore / Costa Gama / Barro Vermelho (Porto Alegre,  - Porto Alegre)</t>
  </si>
  <si>
    <t>Restinga : Vila Bita (Porto Alegre,  - Porto Alegre)</t>
  </si>
  <si>
    <t>Restinga : Vila Castelo (Porto Alegre,  - Porto Alegre)</t>
  </si>
  <si>
    <t>Rio Branco : IPA (Porto Alegre,  - Porto Alegre)</t>
  </si>
  <si>
    <t>Rio Branco : Mariante (Porto Alegre,  - Porto Alegre)</t>
  </si>
  <si>
    <t>Rubem Berta : Beco Dona Regina (Porto Alegre,  - Porto Alegre)</t>
  </si>
  <si>
    <t>Rubem Berta : Cohab Costa e Silva (Porto Alegre,  - Porto Alegre)</t>
  </si>
  <si>
    <t>Rubem Berta : Conjunto Residencial Rubem Berta / Vila Unidos (Porto Alegre,  - Porto Alegre)</t>
  </si>
  <si>
    <t>Rubem Berta : Jardim Leopoldina (Porto Alegre,  - Porto Alegre)</t>
  </si>
  <si>
    <t>Rubem Berta : Loteamento Santa Maria / Jardim da Amizade / Loteamento Dom Pedro (Porto Alegre,  - Porto Alegre)</t>
  </si>
  <si>
    <t>Rubem Berta : Paço da Mangueira (Porto Alegre,  - Porto Alegre)</t>
  </si>
  <si>
    <t>Rubem Berta : Parque Madepinho / Alpino / Santa Fé (Porto Alegre,  - Porto Alegre)</t>
  </si>
  <si>
    <t>Rubem Berta : Residencial São Francisco (Porto Alegre,  - Porto Alegre)</t>
  </si>
  <si>
    <t>Rubem Berta : Teresinha Turcato / Madre Paulina (Porto Alegre,  - Porto Alegre)</t>
  </si>
  <si>
    <t>Rubem Berta : Triângulo Assis Brasil (Porto Alegre,  - Porto Alegre)</t>
  </si>
  <si>
    <t>Rubem Berta : Vila Alexandrina / Loteamento VARIG / Vila Fátima (Porto Alegre,  - Porto Alegre)</t>
  </si>
  <si>
    <t>Rubem Berta : Vila Amazônia (Porto Alegre,  - Porto Alegre)</t>
  </si>
  <si>
    <t>Rubem Berta : Vila Davi Canabarro (Porto Alegre,  - Porto Alegre)</t>
  </si>
  <si>
    <t>Rubem Berta : Vila Esperança Cordeiro / Nova Esperança (Porto Alegre,  - Porto Alegre)</t>
  </si>
  <si>
    <t>Santa Cecília (Porto Alegre,  - Porto Alegre)</t>
  </si>
  <si>
    <t>Santa Maria Goretti (Porto Alegre,  - Porto Alegre)</t>
  </si>
  <si>
    <t>Santana ( bairro ) (Porto Alegre,  - Porto Alegre)</t>
  </si>
  <si>
    <t>Santana : Vila Barnabé (Porto Alegre,  - Porto Alegre)</t>
  </si>
  <si>
    <t>Santana : Vila Planetário (Porto Alegre,  - Porto Alegre)</t>
  </si>
  <si>
    <t>Santana : Vila Sossego (Porto Alegre,  - Porto Alegre)</t>
  </si>
  <si>
    <t>Santa Tereza : Arroio Passo Fundo (Porto Alegre,  - Porto Alegre)</t>
  </si>
  <si>
    <t>Santa Tereza : Brasil (Porto Alegre,  - Porto Alegre)</t>
  </si>
  <si>
    <t>Santa Tereza : Dona Malvina (Porto Alegre,  - Porto Alegre)</t>
  </si>
  <si>
    <t>Santa Tereza : Jardim Europa (Porto Alegre,  - Porto Alegre)</t>
  </si>
  <si>
    <t>Santa Tereza : Jardim Medianeira (Porto Alegre,  - Porto Alegre)</t>
  </si>
  <si>
    <t>Santa Tereza : Mariano de Matos (Porto Alegre,  - Porto Alegre)</t>
  </si>
  <si>
    <t>Santa Tereza : Medianeira (Porto Alegre,  - Porto Alegre)</t>
  </si>
  <si>
    <t>Santa Tereza : Orfanotrófio I (Porto Alegre,  - Porto Alegre)</t>
  </si>
  <si>
    <t>Santa Tereza : Prisma (Porto Alegre,  - Porto Alegre)</t>
  </si>
  <si>
    <t>Santa Tereza : Santa Cruz (Porto Alegre,  - Porto Alegre)</t>
  </si>
  <si>
    <t>Santa Tereza : Taquari / Irani (Porto Alegre,  - Porto Alegre)</t>
  </si>
  <si>
    <t>Santa Tereza : Vila Barracão / Condomínio (Porto Alegre,  - Porto Alegre)</t>
  </si>
  <si>
    <t>Santa Tereza : Vila Cruzeiro do Sul (Porto Alegre,  - Porto Alegre)</t>
  </si>
  <si>
    <t>Santa Tereza : Vila Dona Malvina / Dona Otília (Porto Alegre,  - Porto Alegre)</t>
  </si>
  <si>
    <t>Santa Tereza : Vila Ecológica (Porto Alegre,  - Porto Alegre)</t>
  </si>
  <si>
    <t>Santa Tereza : Vila Figueira (Porto Alegre,  - Porto Alegre)</t>
  </si>
  <si>
    <t>Santa Tereza : Vila Rio Branco (Porto Alegre,  - Porto Alegre)</t>
  </si>
  <si>
    <t>Santa Tereza : Vila Tronco II (Porto Alegre,  - Porto Alegre)</t>
  </si>
  <si>
    <t>Santa Tereza : Zaida / Dormênio (Porto Alegre,  - Porto Alegre)</t>
  </si>
  <si>
    <t>Santo Antônio (Porto Alegre,  - Porto Alegre)</t>
  </si>
  <si>
    <t>São Geraldo (Porto Alegre,  - Porto Alegre)</t>
  </si>
  <si>
    <t>São João : Igreja São João (Porto Alegre,  - Porto Alegre)</t>
  </si>
  <si>
    <t>São João : Sogipa (Porto Alegre,  - Porto Alegre)</t>
  </si>
  <si>
    <t>São João : Vila Dique I (Porto Alegre,  - Porto Alegre)</t>
  </si>
  <si>
    <t>São José : Clemente Pereira (Porto Alegre,  - Porto Alegre)</t>
  </si>
  <si>
    <t>São José : Dona Firmina / Nove de Junho (Porto Alegre,  - Porto Alegre)</t>
  </si>
  <si>
    <t>São José : Morro da Cruz / Vila São José / Chácara dos Bombeiros (Porto Alegre,  - Porto Alegre)</t>
  </si>
  <si>
    <t>São José : Vila Sudeste (Porto Alegre,  - Porto Alegre)</t>
  </si>
  <si>
    <t>São Sebastião ( bairro ) (Porto Alegre,  - Porto Alegre)</t>
  </si>
  <si>
    <t>São Sebastião : Vila Nazaré (Porto Alegre,  - Porto Alegre)</t>
  </si>
  <si>
    <t>Sarandi : Asa Branca (Porto Alegre,  - Porto Alegre)</t>
  </si>
  <si>
    <t>Sarandi : ECOVILLE / Sambódromo / Vila Vitória da Conquista / Residencial Porto Novo (Porto Alegre,  - Porto Alegre)</t>
  </si>
  <si>
    <t>Sarandi : Jardim Por do Sol / Fraternidade / Dutra Jardim (Porto Alegre,  - Porto Alegre)</t>
  </si>
  <si>
    <t>Sarandi : Loteamento do Bosque (Porto Alegre,  - Porto Alegre)</t>
  </si>
  <si>
    <t>Sarandi : Parque dos Maias (Porto Alegre,  - Porto Alegre)</t>
  </si>
  <si>
    <t>Sarandi : Santa Rosa / Parque dos Mayas / Nova Gleba (Porto Alegre,  - Porto Alegre)</t>
  </si>
  <si>
    <t>Sarandi : Santo Agostinho / Free Way / Trevo Assis Brasil (Porto Alegre,  - Porto Alegre)</t>
  </si>
  <si>
    <t>Sarandi : Vila Amazônia (Porto Alegre,  - Porto Alegre)</t>
  </si>
  <si>
    <t>Sarandi : Vila Dique / Minuano (Porto Alegre,  - Porto Alegre)</t>
  </si>
  <si>
    <t>Sarandi : Vila Elizabeth / Vila Leão / Nova Brasília (Porto Alegre,  - Porto Alegre)</t>
  </si>
  <si>
    <t>Sarandi : Vila Ipê São Borja (Porto Alegre,  - Porto Alegre)</t>
  </si>
  <si>
    <t>Sarandi : Vila Leão (Porto Alegre,  - Porto Alegre)</t>
  </si>
  <si>
    <t>Sarandi : Vila Nossa Senhora Aparecida / Vila Chimarrão (Porto Alegre,  - Porto Alegre)</t>
  </si>
  <si>
    <t>Sarandi : Vila Nova Brasília / Vila Elizabeth (Porto Alegre,  - Porto Alegre)</t>
  </si>
  <si>
    <t>Sarandi : Vila Santíssima Trindade (Porto Alegre,  - Porto Alegre)</t>
  </si>
  <si>
    <t>Sarandi : Vilas Caiu-do-Céu / Ipê São Borja / Nossa Senhora Aparecida (Porto Alegre,  - Porto Alegre)</t>
  </si>
  <si>
    <t>Sarandi : Vila Vitória da Conquista (Porto Alegre,  - Porto Alegre)</t>
  </si>
  <si>
    <t>Serraria ( bairro ) (Porto Alegre,  - Porto Alegre)</t>
  </si>
  <si>
    <t>Serraria : Vila dos Sargentos (Porto Alegre,  - Porto Alegre)</t>
  </si>
  <si>
    <t>Teresópolis : Asmobane (Porto Alegre,  - Porto Alegre)</t>
  </si>
  <si>
    <t>Teresópolis ( bairro ) (Porto Alegre,  - Porto Alegre)</t>
  </si>
  <si>
    <t>Teresópolis : Estrada dos Alpes (Porto Alegre,  - Porto Alegre)</t>
  </si>
  <si>
    <t>Teresópolis : Vila Gabriel Obino (Porto Alegre,  - Porto Alegre)</t>
  </si>
  <si>
    <t>Teresópolis : Vila Silva Paes (Porto Alegre,  - Porto Alegre)</t>
  </si>
  <si>
    <t>Três Figueiras (Porto Alegre,  - Porto Alegre)</t>
  </si>
  <si>
    <t>Tristeza (Porto Alegre,  - Porto Alegre)</t>
  </si>
  <si>
    <t>Vila Assunção ( bairro ) (Porto Alegre,  - Porto Alegre)</t>
  </si>
  <si>
    <t>Vila Assunção : Vila dos Pescadores (Porto Alegre,  - Porto Alegre)</t>
  </si>
  <si>
    <t>Vila Conceição ( bairro ) (Porto Alegre,  - Porto Alegre)</t>
  </si>
  <si>
    <t>Vila Conceição : Vila Pellin / Santa Bárbara (Porto Alegre,  - Porto Alegre)</t>
  </si>
  <si>
    <t>Vila Ipiranga : Benno Mentz (Porto Alegre,  - Porto Alegre)</t>
  </si>
  <si>
    <t>Vila Ipiranga : Iguatemi / Germânia (Porto Alegre,  - Porto Alegre)</t>
  </si>
  <si>
    <t>Vila Ipiranga : Marajó (Porto Alegre,  - Porto Alegre)</t>
  </si>
  <si>
    <t>Vila Jardim : Av. Circular / Souza Lobo (Porto Alegre,  - Porto Alegre)</t>
  </si>
  <si>
    <t>Vila Jardim : Beco Aquiles A e B (Porto Alegre,  - Porto Alegre)</t>
  </si>
  <si>
    <t>Vila Jardim : Beco Bica / Veiga Cabral (Porto Alegre,  - Porto Alegre)</t>
  </si>
  <si>
    <t>Vila Jardim : Beco Um Salvador Pinheiro / Souza Lobo (Porto Alegre,  - Porto Alegre)</t>
  </si>
  <si>
    <t>Vila Jardim : General Barreto Viana / Vila da Paz (Porto Alegre,  - Porto Alegre)</t>
  </si>
  <si>
    <t>Vila Jardim : Viela da Alegria (Porto Alegre,  - Porto Alegre)</t>
  </si>
  <si>
    <t>Vila Jardim : Vila Mirim / Beco Cananéia / Barreto Viana (Porto Alegre,  - Porto Alegre)</t>
  </si>
  <si>
    <t>Vila João Pessoa : Condor / Ernesto Di Primio Beck (Porto Alegre,  - Porto Alegre)</t>
  </si>
  <si>
    <t>Vila João Pessoa : Praça da Amizade / Praça Francisco Alves (Porto Alegre,  - Porto Alegre)</t>
  </si>
  <si>
    <t>Vila João Pessoa : Vila Campo da Tuca (Porto Alegre,  - Porto Alegre)</t>
  </si>
  <si>
    <t>Vila Nova : Atílio Supertti / Pedro Rodrigues Bitencourt (Porto Alegre,  - Porto Alegre)</t>
  </si>
  <si>
    <t>Vila Nova : Cohab Cavalhada (Porto Alegre,  - Porto Alegre)</t>
  </si>
  <si>
    <t>Vila Nova : Condomínio Cristal II (Porto Alegre,  - Porto Alegre)</t>
  </si>
  <si>
    <t>Vila Nova : Condomínio Cristal / Sócio ambiental (Porto Alegre,  - Porto Alegre)</t>
  </si>
  <si>
    <t>Vila Nova : Condomínio Village / Moradas da Luz / Jardim Vila Nova (Porto Alegre,  - Porto Alegre)</t>
  </si>
  <si>
    <t>Vila Nova : Cristiano Kraemer / Cinco Mil Cento e Vinte (Porto Alegre,  - Porto Alegre)</t>
  </si>
  <si>
    <t>Vila Nova : Igreja São José (Porto Alegre,  - Porto Alegre)</t>
  </si>
  <si>
    <t>Vila Nova : João Salomoni / Joaquim de Carvalho (Porto Alegre,  - Porto Alegre)</t>
  </si>
  <si>
    <t>Vila Nova : Kanazawa I e II (Porto Alegre,  - Porto Alegre)</t>
  </si>
  <si>
    <t>Vila Nova : Parque Knijnik (Porto Alegre,  - Porto Alegre)</t>
  </si>
  <si>
    <t>Vila Nova : Praça Suiça (Porto Alegre,  - Porto Alegre)</t>
  </si>
  <si>
    <t>Vila Nova : Ventura Pinto (Porto Alegre,  - Porto Alegre)</t>
  </si>
  <si>
    <t>Vila Nova : Vila Monte Cristo e Vila Monte Cristo II (Porto Alegre,  - Porto Alegre)</t>
  </si>
  <si>
    <t>Vila Nova : Vila Morro Quente (Porto Alegre,  - Porto Alegre)</t>
  </si>
  <si>
    <t xml:space="preserve"> </t>
  </si>
  <si>
    <t>Elaboração: Atlas do Desenvolvimento Humano no Brasil. Pnud Brasil, Ipea e FJP, 2022.</t>
  </si>
  <si>
    <t>Fontes: dados do IBGE e de registros administrativos, conforme especificados nos metadados disponíveis disponíveis em: http://atlasbrasil.org.br/acervo/biblioteca.</t>
  </si>
  <si>
    <t>Média 2000</t>
  </si>
  <si>
    <t>Média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</si>
</sst>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rgb="FF000000"/>
      <name val="Calibri"/>
    </font>
    <font>
      <b/>
      <sz val="12"/>
      <color rgb="FF000000"/>
      <name val="Calibri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164" fontId="0" fillId="0" borderId="0" xfId="0" applyNumberFormat="1"/>
    <xf numFmtId="164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B339"/>
  <sheetViews>
    <sheetView tabSelected="1" topLeftCell="A313" workbookViewId="0">
      <selection activeCell="C274" sqref="C274"/>
    </sheetView>
  </sheetViews>
  <sheetFormatPr defaultRowHeight="15" x14ac:dyDescent="0.25"/>
  <cols>
    <col min="1" max="1" width="39.85546875" customWidth="1"/>
    <col min="2" max="2" width="27" bestFit="1" customWidth="1"/>
    <col min="3" max="3" width="12.28515625" style="4" bestFit="1" customWidth="1"/>
    <col min="4" max="4" width="27" customWidth="1"/>
    <col min="5" max="5" width="27.42578125" customWidth="1"/>
    <col min="6" max="6" width="12.28515625" style="2" bestFit="1" customWidth="1"/>
  </cols>
  <sheetData>
    <row r="1" spans="1:704" ht="15.75" x14ac:dyDescent="0.25">
      <c r="A1" s="1" t="s">
        <v>0</v>
      </c>
      <c r="B1" s="1" t="s">
        <v>1</v>
      </c>
      <c r="C1" s="3" t="s">
        <v>341</v>
      </c>
      <c r="D1" s="1"/>
      <c r="E1" s="1" t="s">
        <v>2</v>
      </c>
      <c r="F1" s="6" t="s">
        <v>342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</row>
    <row r="2" spans="1:704" x14ac:dyDescent="0.25">
      <c r="A2" t="s">
        <v>3</v>
      </c>
      <c r="B2">
        <v>493.05</v>
      </c>
      <c r="C2" s="4">
        <f>AVERAGE(B2:B7)</f>
        <v>533.18666666666661</v>
      </c>
      <c r="E2">
        <v>623.38</v>
      </c>
      <c r="F2" s="4">
        <f>AVERAGE(E2:E7)</f>
        <v>729.13166666666666</v>
      </c>
    </row>
    <row r="3" spans="1:704" x14ac:dyDescent="0.25">
      <c r="A3" t="s">
        <v>4</v>
      </c>
      <c r="B3">
        <v>837.05</v>
      </c>
      <c r="E3">
        <v>1220.08</v>
      </c>
      <c r="F3" s="4"/>
    </row>
    <row r="4" spans="1:704" x14ac:dyDescent="0.25">
      <c r="A4" t="s">
        <v>5</v>
      </c>
      <c r="B4">
        <v>649.74</v>
      </c>
      <c r="E4">
        <v>899.92</v>
      </c>
      <c r="F4" s="4"/>
    </row>
    <row r="5" spans="1:704" x14ac:dyDescent="0.25">
      <c r="A5" t="s">
        <v>6</v>
      </c>
      <c r="B5">
        <v>365.67</v>
      </c>
      <c r="E5">
        <v>531.9</v>
      </c>
      <c r="F5" s="4"/>
    </row>
    <row r="6" spans="1:704" x14ac:dyDescent="0.25">
      <c r="A6" t="s">
        <v>7</v>
      </c>
      <c r="B6">
        <v>339.96</v>
      </c>
      <c r="E6">
        <v>489.26</v>
      </c>
      <c r="F6" s="4"/>
    </row>
    <row r="7" spans="1:704" x14ac:dyDescent="0.25">
      <c r="A7" t="s">
        <v>8</v>
      </c>
      <c r="B7">
        <v>513.65</v>
      </c>
      <c r="E7">
        <v>610.25</v>
      </c>
      <c r="F7" s="4"/>
    </row>
    <row r="8" spans="1:704" x14ac:dyDescent="0.25">
      <c r="A8" t="s">
        <v>9</v>
      </c>
      <c r="B8">
        <v>600.32000000000005</v>
      </c>
      <c r="C8" s="4">
        <f>AVERAGE(B8)</f>
        <v>600.32000000000005</v>
      </c>
      <c r="E8">
        <v>818.43</v>
      </c>
      <c r="F8" s="4">
        <f>AVERAGE(E8)</f>
        <v>818.43</v>
      </c>
    </row>
    <row r="9" spans="1:704" x14ac:dyDescent="0.25">
      <c r="A9" t="s">
        <v>10</v>
      </c>
      <c r="B9">
        <v>369.07</v>
      </c>
      <c r="C9" s="4">
        <f>AVERAGE(B9:B14)</f>
        <v>365.12833333333333</v>
      </c>
      <c r="E9">
        <v>489.26</v>
      </c>
      <c r="F9" s="4">
        <f>AVERAGE(E9:E14)</f>
        <v>543.70500000000004</v>
      </c>
    </row>
    <row r="10" spans="1:704" x14ac:dyDescent="0.25">
      <c r="A10" t="s">
        <v>11</v>
      </c>
      <c r="B10">
        <v>517.45000000000005</v>
      </c>
      <c r="E10">
        <v>846.68</v>
      </c>
      <c r="F10" s="4"/>
    </row>
    <row r="11" spans="1:704" x14ac:dyDescent="0.25">
      <c r="A11" t="s">
        <v>12</v>
      </c>
      <c r="B11">
        <v>365.67</v>
      </c>
      <c r="E11">
        <v>544.22</v>
      </c>
      <c r="F11" s="4"/>
    </row>
    <row r="12" spans="1:704" x14ac:dyDescent="0.25">
      <c r="A12" t="s">
        <v>13</v>
      </c>
      <c r="B12">
        <v>271.37</v>
      </c>
      <c r="E12">
        <v>385.91</v>
      </c>
      <c r="F12" s="4"/>
    </row>
    <row r="13" spans="1:704" x14ac:dyDescent="0.25">
      <c r="A13" t="s">
        <v>14</v>
      </c>
      <c r="B13">
        <v>395.84</v>
      </c>
      <c r="E13">
        <v>610.25</v>
      </c>
      <c r="F13" s="4"/>
    </row>
    <row r="14" spans="1:704" x14ac:dyDescent="0.25">
      <c r="A14" t="s">
        <v>15</v>
      </c>
      <c r="B14">
        <v>271.37</v>
      </c>
      <c r="E14">
        <v>385.91</v>
      </c>
      <c r="F14" s="4"/>
    </row>
    <row r="15" spans="1:704" x14ac:dyDescent="0.25">
      <c r="A15" t="s">
        <v>16</v>
      </c>
      <c r="B15">
        <v>2916.92</v>
      </c>
      <c r="C15" s="4">
        <f>AVERAGE(B15)</f>
        <v>2916.92</v>
      </c>
      <c r="E15">
        <v>3792.29</v>
      </c>
      <c r="F15" s="4">
        <f>AVERAGE(E15)</f>
        <v>3792.29</v>
      </c>
    </row>
    <row r="16" spans="1:704" x14ac:dyDescent="0.25">
      <c r="A16" t="s">
        <v>17</v>
      </c>
      <c r="B16">
        <v>1603.68</v>
      </c>
      <c r="C16" s="4">
        <f>AVERAGE(B16:B17)</f>
        <v>1603.68</v>
      </c>
      <c r="E16">
        <v>2152.15</v>
      </c>
      <c r="F16" s="4">
        <f>AVERAGE(E16:E17)</f>
        <v>1342.0250000000001</v>
      </c>
    </row>
    <row r="17" spans="1:6" x14ac:dyDescent="0.25">
      <c r="A17" t="s">
        <v>18</v>
      </c>
      <c r="E17">
        <v>531.9</v>
      </c>
      <c r="F17" s="4"/>
    </row>
    <row r="18" spans="1:6" x14ac:dyDescent="0.25">
      <c r="A18" t="s">
        <v>19</v>
      </c>
      <c r="B18">
        <v>4822.42</v>
      </c>
      <c r="C18" s="4">
        <f>AVERAGE(B18)</f>
        <v>4822.42</v>
      </c>
      <c r="E18">
        <v>7216.42</v>
      </c>
      <c r="F18" s="4">
        <f>AVERAGE(E18)</f>
        <v>7216.42</v>
      </c>
    </row>
    <row r="19" spans="1:6" x14ac:dyDescent="0.25">
      <c r="A19" t="s">
        <v>20</v>
      </c>
      <c r="B19">
        <v>503.44</v>
      </c>
      <c r="C19" s="4">
        <f>AVERAGE(B19:B25)</f>
        <v>523.20000000000005</v>
      </c>
      <c r="E19">
        <v>623.38</v>
      </c>
      <c r="F19" s="4">
        <f>AVERAGE(E19:E25)</f>
        <v>1624.2285714285715</v>
      </c>
    </row>
    <row r="20" spans="1:6" x14ac:dyDescent="0.25">
      <c r="A20" t="s">
        <v>21</v>
      </c>
      <c r="B20">
        <v>448.29</v>
      </c>
      <c r="E20">
        <v>662.53</v>
      </c>
      <c r="F20" s="4"/>
    </row>
    <row r="21" spans="1:6" x14ac:dyDescent="0.25">
      <c r="A21" t="s">
        <v>22</v>
      </c>
      <c r="B21">
        <v>981.57</v>
      </c>
      <c r="E21">
        <v>1220.08</v>
      </c>
      <c r="F21" s="4"/>
    </row>
    <row r="22" spans="1:6" x14ac:dyDescent="0.25">
      <c r="A22" t="s">
        <v>23</v>
      </c>
      <c r="B22">
        <v>656.3</v>
      </c>
      <c r="E22">
        <v>846.68</v>
      </c>
      <c r="F22" s="4"/>
    </row>
    <row r="23" spans="1:6" x14ac:dyDescent="0.25">
      <c r="A23" t="s">
        <v>24</v>
      </c>
      <c r="E23">
        <v>7216.42</v>
      </c>
      <c r="F23" s="4"/>
    </row>
    <row r="24" spans="1:6" x14ac:dyDescent="0.25">
      <c r="A24" t="s">
        <v>25</v>
      </c>
      <c r="B24">
        <v>271.37</v>
      </c>
      <c r="E24">
        <v>385.91</v>
      </c>
      <c r="F24" s="4"/>
    </row>
    <row r="25" spans="1:6" x14ac:dyDescent="0.25">
      <c r="A25" t="s">
        <v>26</v>
      </c>
      <c r="B25">
        <v>278.23</v>
      </c>
      <c r="E25">
        <v>414.6</v>
      </c>
      <c r="F25" s="4"/>
    </row>
    <row r="26" spans="1:6" x14ac:dyDescent="0.25">
      <c r="A26" t="s">
        <v>27</v>
      </c>
      <c r="B26">
        <v>498.14</v>
      </c>
      <c r="C26" s="4">
        <f>AVERAGE(B26:B28)</f>
        <v>505.90000000000003</v>
      </c>
      <c r="E26">
        <v>727.98</v>
      </c>
      <c r="F26" s="4">
        <f>AVERAGE(E26:E28)</f>
        <v>724.04</v>
      </c>
    </row>
    <row r="27" spans="1:6" x14ac:dyDescent="0.25">
      <c r="A27" t="s">
        <v>28</v>
      </c>
      <c r="B27">
        <v>369.82</v>
      </c>
      <c r="E27">
        <v>544.22</v>
      </c>
      <c r="F27" s="4"/>
    </row>
    <row r="28" spans="1:6" x14ac:dyDescent="0.25">
      <c r="A28" t="s">
        <v>29</v>
      </c>
      <c r="B28">
        <v>649.74</v>
      </c>
      <c r="E28">
        <v>899.92</v>
      </c>
      <c r="F28" s="4"/>
    </row>
    <row r="29" spans="1:6" x14ac:dyDescent="0.25">
      <c r="A29" t="s">
        <v>30</v>
      </c>
      <c r="B29">
        <v>3005.64</v>
      </c>
      <c r="C29" s="4">
        <f>AVERAGE(B29:B30)</f>
        <v>2202.62</v>
      </c>
      <c r="E29">
        <v>4403.05</v>
      </c>
      <c r="F29" s="4">
        <f>AVERAGE(E29:E30)</f>
        <v>3294.2350000000001</v>
      </c>
    </row>
    <row r="30" spans="1:6" x14ac:dyDescent="0.25">
      <c r="A30" t="s">
        <v>31</v>
      </c>
      <c r="B30">
        <v>1399.6</v>
      </c>
      <c r="E30">
        <v>2185.42</v>
      </c>
      <c r="F30" s="4"/>
    </row>
    <row r="31" spans="1:6" x14ac:dyDescent="0.25">
      <c r="A31" t="s">
        <v>32</v>
      </c>
      <c r="B31">
        <v>2657.68</v>
      </c>
      <c r="C31" s="4">
        <f>AVERAGE(B31)</f>
        <v>2657.68</v>
      </c>
      <c r="E31">
        <v>3591.85</v>
      </c>
      <c r="F31" s="4">
        <f>AVERAGE(E31)</f>
        <v>3591.85</v>
      </c>
    </row>
    <row r="32" spans="1:6" x14ac:dyDescent="0.25">
      <c r="A32" t="s">
        <v>33</v>
      </c>
      <c r="B32">
        <v>1792.36</v>
      </c>
      <c r="C32" s="4">
        <f>AVERAGE(B32:B38)</f>
        <v>958.01714285714286</v>
      </c>
      <c r="E32">
        <v>2152.15</v>
      </c>
      <c r="F32" s="4">
        <f>AVERAGE(E32:E38)</f>
        <v>1342.2314285714288</v>
      </c>
    </row>
    <row r="33" spans="1:6" x14ac:dyDescent="0.25">
      <c r="A33" t="s">
        <v>34</v>
      </c>
      <c r="B33">
        <v>649.74</v>
      </c>
      <c r="E33">
        <v>899.92</v>
      </c>
      <c r="F33" s="4"/>
    </row>
    <row r="34" spans="1:6" x14ac:dyDescent="0.25">
      <c r="A34" t="s">
        <v>35</v>
      </c>
      <c r="B34">
        <v>600.32000000000005</v>
      </c>
      <c r="E34">
        <v>818.43</v>
      </c>
      <c r="F34" s="4"/>
    </row>
    <row r="35" spans="1:6" x14ac:dyDescent="0.25">
      <c r="A35" t="s">
        <v>36</v>
      </c>
      <c r="B35">
        <v>1169.01</v>
      </c>
      <c r="E35">
        <v>1680.17</v>
      </c>
      <c r="F35" s="4"/>
    </row>
    <row r="36" spans="1:6" x14ac:dyDescent="0.25">
      <c r="A36" t="s">
        <v>37</v>
      </c>
      <c r="B36">
        <v>837.05</v>
      </c>
      <c r="E36">
        <v>1244.93</v>
      </c>
      <c r="F36" s="4"/>
    </row>
    <row r="37" spans="1:6" x14ac:dyDescent="0.25">
      <c r="A37" t="s">
        <v>38</v>
      </c>
      <c r="B37">
        <v>1399.6</v>
      </c>
      <c r="E37">
        <v>2185.42</v>
      </c>
      <c r="F37" s="4"/>
    </row>
    <row r="38" spans="1:6" x14ac:dyDescent="0.25">
      <c r="A38" t="s">
        <v>39</v>
      </c>
      <c r="B38">
        <v>258.04000000000002</v>
      </c>
      <c r="E38">
        <v>414.6</v>
      </c>
      <c r="F38" s="4"/>
    </row>
    <row r="39" spans="1:6" x14ac:dyDescent="0.25">
      <c r="A39" t="s">
        <v>40</v>
      </c>
      <c r="B39">
        <v>600.32000000000005</v>
      </c>
      <c r="C39" s="4">
        <f>AVERAGE(B39:B43)</f>
        <v>678.42</v>
      </c>
      <c r="E39">
        <v>818.43</v>
      </c>
      <c r="F39" s="4">
        <f>AVERAGE(E39:E43)</f>
        <v>979.96399999999994</v>
      </c>
    </row>
    <row r="40" spans="1:6" x14ac:dyDescent="0.25">
      <c r="A40" t="s">
        <v>41</v>
      </c>
      <c r="B40">
        <v>649.74</v>
      </c>
      <c r="E40">
        <v>1012.04</v>
      </c>
      <c r="F40" s="4"/>
    </row>
    <row r="41" spans="1:6" x14ac:dyDescent="0.25">
      <c r="A41" t="s">
        <v>42</v>
      </c>
      <c r="B41">
        <v>649.74</v>
      </c>
      <c r="E41">
        <v>899.92</v>
      </c>
      <c r="F41" s="4"/>
    </row>
    <row r="42" spans="1:6" x14ac:dyDescent="0.25">
      <c r="A42" t="s">
        <v>43</v>
      </c>
      <c r="B42">
        <v>1169.01</v>
      </c>
      <c r="E42">
        <v>1680.17</v>
      </c>
      <c r="F42" s="4"/>
    </row>
    <row r="43" spans="1:6" x14ac:dyDescent="0.25">
      <c r="A43" t="s">
        <v>44</v>
      </c>
      <c r="B43">
        <v>323.29000000000002</v>
      </c>
      <c r="E43">
        <v>489.26</v>
      </c>
      <c r="F43" s="4"/>
    </row>
    <row r="44" spans="1:6" x14ac:dyDescent="0.25">
      <c r="A44" t="s">
        <v>45</v>
      </c>
      <c r="B44">
        <v>656.3</v>
      </c>
      <c r="C44" s="4">
        <f>AVERAGE(B44:B45)</f>
        <v>656.3</v>
      </c>
      <c r="E44">
        <v>846.68</v>
      </c>
      <c r="F44" s="4">
        <f>AVERAGE(E44:E45)</f>
        <v>695.45</v>
      </c>
    </row>
    <row r="45" spans="1:6" x14ac:dyDescent="0.25">
      <c r="A45" t="s">
        <v>46</v>
      </c>
      <c r="E45">
        <v>544.22</v>
      </c>
      <c r="F45" s="4"/>
    </row>
    <row r="46" spans="1:6" x14ac:dyDescent="0.25">
      <c r="A46" t="s">
        <v>47</v>
      </c>
      <c r="B46">
        <v>503.44</v>
      </c>
      <c r="C46" s="4">
        <f>AVERAGE(B46:B52)</f>
        <v>517.13571428571436</v>
      </c>
      <c r="E46">
        <v>727.98</v>
      </c>
      <c r="F46" s="4">
        <f>AVERAGE(E46:E52)</f>
        <v>735.72857142857151</v>
      </c>
    </row>
    <row r="47" spans="1:6" x14ac:dyDescent="0.25">
      <c r="A47" t="s">
        <v>48</v>
      </c>
      <c r="B47">
        <v>527.05999999999995</v>
      </c>
      <c r="E47">
        <v>727.98</v>
      </c>
      <c r="F47" s="4"/>
    </row>
    <row r="48" spans="1:6" x14ac:dyDescent="0.25">
      <c r="A48" t="s">
        <v>49</v>
      </c>
      <c r="B48">
        <v>448.29</v>
      </c>
      <c r="E48">
        <v>610.25</v>
      </c>
      <c r="F48" s="4"/>
    </row>
    <row r="49" spans="1:6" x14ac:dyDescent="0.25">
      <c r="A49" t="s">
        <v>50</v>
      </c>
      <c r="B49">
        <v>1020.02</v>
      </c>
      <c r="E49">
        <v>1595.35</v>
      </c>
      <c r="F49" s="4"/>
    </row>
    <row r="50" spans="1:6" x14ac:dyDescent="0.25">
      <c r="A50" t="s">
        <v>51</v>
      </c>
      <c r="B50">
        <v>428.03</v>
      </c>
      <c r="E50">
        <v>544.22</v>
      </c>
      <c r="F50" s="4"/>
    </row>
    <row r="51" spans="1:6" x14ac:dyDescent="0.25">
      <c r="A51" t="s">
        <v>52</v>
      </c>
      <c r="B51">
        <v>369.82</v>
      </c>
      <c r="E51">
        <v>544.22</v>
      </c>
      <c r="F51" s="4"/>
    </row>
    <row r="52" spans="1:6" x14ac:dyDescent="0.25">
      <c r="A52" t="s">
        <v>53</v>
      </c>
      <c r="B52">
        <v>323.29000000000002</v>
      </c>
      <c r="E52">
        <v>400.1</v>
      </c>
      <c r="F52" s="4"/>
    </row>
    <row r="53" spans="1:6" x14ac:dyDescent="0.25">
      <c r="A53" t="s">
        <v>54</v>
      </c>
      <c r="B53">
        <v>837.8</v>
      </c>
      <c r="C53" s="4">
        <f>AVERAGE(B53:B58)</f>
        <v>702.70500000000004</v>
      </c>
      <c r="E53">
        <v>1012.04</v>
      </c>
      <c r="F53" s="4">
        <f>AVERAGE(E53:E58)</f>
        <v>940.53000000000009</v>
      </c>
    </row>
    <row r="54" spans="1:6" x14ac:dyDescent="0.25">
      <c r="A54" t="s">
        <v>55</v>
      </c>
      <c r="B54">
        <v>1163.23</v>
      </c>
      <c r="E54">
        <v>1451.48</v>
      </c>
      <c r="F54" s="4"/>
    </row>
    <row r="55" spans="1:6" x14ac:dyDescent="0.25">
      <c r="A55" t="s">
        <v>56</v>
      </c>
      <c r="B55">
        <v>365.67</v>
      </c>
      <c r="E55">
        <v>662.53</v>
      </c>
      <c r="F55" s="4"/>
    </row>
    <row r="56" spans="1:6" x14ac:dyDescent="0.25">
      <c r="A56" t="s">
        <v>57</v>
      </c>
      <c r="B56">
        <v>981.57</v>
      </c>
      <c r="E56">
        <v>1244.93</v>
      </c>
      <c r="F56" s="4"/>
    </row>
    <row r="57" spans="1:6" x14ac:dyDescent="0.25">
      <c r="A57" t="s">
        <v>58</v>
      </c>
      <c r="B57">
        <v>369.82</v>
      </c>
      <c r="E57">
        <v>544.22</v>
      </c>
      <c r="F57" s="4"/>
    </row>
    <row r="58" spans="1:6" x14ac:dyDescent="0.25">
      <c r="A58" t="s">
        <v>59</v>
      </c>
      <c r="B58">
        <v>498.14</v>
      </c>
      <c r="E58">
        <v>727.98</v>
      </c>
      <c r="F58" s="4"/>
    </row>
    <row r="59" spans="1:6" x14ac:dyDescent="0.25">
      <c r="A59" t="s">
        <v>60</v>
      </c>
      <c r="B59">
        <v>395.84</v>
      </c>
      <c r="C59" s="4">
        <f>AVERAGE(B59:B62)</f>
        <v>746.59750000000008</v>
      </c>
      <c r="E59">
        <v>489.26</v>
      </c>
      <c r="F59" s="4">
        <f>AVERAGE(E59:E62)</f>
        <v>982.92250000000001</v>
      </c>
    </row>
    <row r="60" spans="1:6" x14ac:dyDescent="0.25">
      <c r="A60" t="s">
        <v>61</v>
      </c>
      <c r="B60">
        <v>837.05</v>
      </c>
      <c r="C60" s="5"/>
      <c r="E60">
        <v>1108.8599999999999</v>
      </c>
      <c r="F60" s="5"/>
    </row>
    <row r="61" spans="1:6" x14ac:dyDescent="0.25">
      <c r="A61" t="s">
        <v>62</v>
      </c>
      <c r="B61">
        <v>1097.2</v>
      </c>
      <c r="E61">
        <v>1515.14</v>
      </c>
      <c r="F61" s="4"/>
    </row>
    <row r="62" spans="1:6" x14ac:dyDescent="0.25">
      <c r="A62" t="s">
        <v>63</v>
      </c>
      <c r="B62">
        <v>656.3</v>
      </c>
      <c r="E62">
        <v>818.43</v>
      </c>
      <c r="F62" s="4"/>
    </row>
    <row r="63" spans="1:6" x14ac:dyDescent="0.25">
      <c r="A63" t="s">
        <v>64</v>
      </c>
      <c r="B63">
        <v>2505.59</v>
      </c>
      <c r="C63" s="4">
        <f>AVERAGE(B63)</f>
        <v>2505.59</v>
      </c>
      <c r="E63">
        <v>2632.73</v>
      </c>
      <c r="F63" s="4">
        <f>AVERAGE(E63)</f>
        <v>2632.73</v>
      </c>
    </row>
    <row r="64" spans="1:6" x14ac:dyDescent="0.25">
      <c r="A64" t="s">
        <v>65</v>
      </c>
      <c r="B64">
        <v>3005.64</v>
      </c>
      <c r="C64" s="4">
        <f>AVERAGE(B64)</f>
        <v>3005.64</v>
      </c>
      <c r="E64">
        <v>4403.05</v>
      </c>
      <c r="F64" s="4">
        <f>AVERAGE(E64)</f>
        <v>4403.05</v>
      </c>
    </row>
    <row r="65" spans="1:6" x14ac:dyDescent="0.25">
      <c r="A65" t="s">
        <v>66</v>
      </c>
      <c r="B65">
        <v>271.37</v>
      </c>
      <c r="C65" s="4">
        <f>AVERAGE(B65:B66)</f>
        <v>320.22000000000003</v>
      </c>
      <c r="E65">
        <v>499.5</v>
      </c>
      <c r="F65" s="4">
        <f>AVERAGE(E65:E66)</f>
        <v>494.38</v>
      </c>
    </row>
    <row r="66" spans="1:6" x14ac:dyDescent="0.25">
      <c r="A66" t="s">
        <v>67</v>
      </c>
      <c r="B66">
        <v>369.07</v>
      </c>
      <c r="E66">
        <v>489.26</v>
      </c>
      <c r="F66" s="4"/>
    </row>
    <row r="67" spans="1:6" x14ac:dyDescent="0.25">
      <c r="A67" t="s">
        <v>68</v>
      </c>
      <c r="B67">
        <v>2242.88</v>
      </c>
      <c r="C67" s="4">
        <f>AVERAGE(B67)</f>
        <v>2242.88</v>
      </c>
      <c r="E67">
        <v>2586.31</v>
      </c>
      <c r="F67" s="4">
        <f>AVERAGE(E67)</f>
        <v>2586.31</v>
      </c>
    </row>
    <row r="68" spans="1:6" x14ac:dyDescent="0.25">
      <c r="A68" t="s">
        <v>69</v>
      </c>
      <c r="B68">
        <v>981.57</v>
      </c>
      <c r="C68" s="4">
        <f>AVERAGE(B68:B78)</f>
        <v>1013.7527272727274</v>
      </c>
      <c r="E68">
        <v>1220.08</v>
      </c>
      <c r="F68" s="4">
        <f>AVERAGE(E68:E78)</f>
        <v>1349.7281818181816</v>
      </c>
    </row>
    <row r="69" spans="1:6" x14ac:dyDescent="0.25">
      <c r="A69" t="s">
        <v>70</v>
      </c>
      <c r="B69">
        <v>2122.6</v>
      </c>
      <c r="E69">
        <v>2910.87</v>
      </c>
      <c r="F69" s="4"/>
    </row>
    <row r="70" spans="1:6" x14ac:dyDescent="0.25">
      <c r="A70" t="s">
        <v>71</v>
      </c>
      <c r="B70">
        <v>2318.7199999999998</v>
      </c>
      <c r="E70">
        <v>3371.41</v>
      </c>
      <c r="F70" s="4"/>
    </row>
    <row r="71" spans="1:6" x14ac:dyDescent="0.25">
      <c r="A71" t="s">
        <v>72</v>
      </c>
      <c r="B71">
        <v>1334.02</v>
      </c>
      <c r="E71">
        <v>1595.35</v>
      </c>
      <c r="F71" s="4"/>
    </row>
    <row r="72" spans="1:6" x14ac:dyDescent="0.25">
      <c r="A72" t="s">
        <v>73</v>
      </c>
      <c r="B72">
        <v>369.07</v>
      </c>
      <c r="E72">
        <v>499.5</v>
      </c>
      <c r="F72" s="4"/>
    </row>
    <row r="73" spans="1:6" x14ac:dyDescent="0.25">
      <c r="A73" t="s">
        <v>74</v>
      </c>
      <c r="B73">
        <v>1792.36</v>
      </c>
      <c r="E73">
        <v>2152.15</v>
      </c>
      <c r="F73" s="4"/>
    </row>
    <row r="74" spans="1:6" x14ac:dyDescent="0.25">
      <c r="A74" t="s">
        <v>75</v>
      </c>
      <c r="B74">
        <v>556.29</v>
      </c>
      <c r="E74">
        <v>727.98</v>
      </c>
      <c r="F74" s="4"/>
    </row>
    <row r="75" spans="1:6" x14ac:dyDescent="0.25">
      <c r="A75" t="s">
        <v>76</v>
      </c>
      <c r="B75">
        <v>506.07</v>
      </c>
      <c r="E75">
        <v>709.69</v>
      </c>
      <c r="F75" s="4"/>
    </row>
    <row r="76" spans="1:6" x14ac:dyDescent="0.25">
      <c r="A76" t="s">
        <v>77</v>
      </c>
      <c r="B76">
        <v>278.23</v>
      </c>
      <c r="E76">
        <v>400.1</v>
      </c>
      <c r="F76" s="4"/>
    </row>
    <row r="77" spans="1:6" x14ac:dyDescent="0.25">
      <c r="A77" t="s">
        <v>78</v>
      </c>
      <c r="B77">
        <v>323.29000000000002</v>
      </c>
      <c r="E77">
        <v>531.9</v>
      </c>
      <c r="F77" s="4"/>
    </row>
    <row r="78" spans="1:6" x14ac:dyDescent="0.25">
      <c r="A78" t="s">
        <v>79</v>
      </c>
      <c r="B78">
        <v>569.05999999999995</v>
      </c>
      <c r="E78">
        <v>727.98</v>
      </c>
      <c r="F78" s="4"/>
    </row>
    <row r="79" spans="1:6" x14ac:dyDescent="0.25">
      <c r="A79" t="s">
        <v>80</v>
      </c>
      <c r="B79">
        <v>1726.89</v>
      </c>
      <c r="C79" s="4">
        <f>AVERAGE(B79)</f>
        <v>1726.89</v>
      </c>
      <c r="E79">
        <v>2202.5</v>
      </c>
      <c r="F79" s="4">
        <f>AVERAGE(E79)</f>
        <v>2202.5</v>
      </c>
    </row>
    <row r="80" spans="1:6" x14ac:dyDescent="0.25">
      <c r="A80" t="s">
        <v>81</v>
      </c>
      <c r="B80">
        <v>2364.92</v>
      </c>
      <c r="C80" s="4">
        <f>AVERAGE(B80:B83)</f>
        <v>1659.0875000000001</v>
      </c>
      <c r="E80">
        <v>3591.85</v>
      </c>
      <c r="F80" s="4">
        <f>AVERAGE(E80:E83)</f>
        <v>2360.6925000000001</v>
      </c>
    </row>
    <row r="81" spans="1:6" x14ac:dyDescent="0.25">
      <c r="A81" t="s">
        <v>82</v>
      </c>
      <c r="B81">
        <v>1603.68</v>
      </c>
      <c r="E81">
        <v>2371.0300000000002</v>
      </c>
      <c r="F81" s="4"/>
    </row>
    <row r="82" spans="1:6" x14ac:dyDescent="0.25">
      <c r="A82" t="s">
        <v>83</v>
      </c>
      <c r="B82">
        <v>940.86</v>
      </c>
      <c r="E82">
        <v>1108.8599999999999</v>
      </c>
      <c r="F82" s="4"/>
    </row>
    <row r="83" spans="1:6" x14ac:dyDescent="0.25">
      <c r="A83" t="s">
        <v>84</v>
      </c>
      <c r="B83">
        <v>1726.89</v>
      </c>
      <c r="E83">
        <v>2371.0300000000002</v>
      </c>
      <c r="F83" s="4"/>
    </row>
    <row r="84" spans="1:6" x14ac:dyDescent="0.25">
      <c r="A84" t="s">
        <v>85</v>
      </c>
      <c r="B84">
        <v>1163.23</v>
      </c>
      <c r="C84" s="4">
        <f>AVERAGE(B84:B86)</f>
        <v>667.88666666666666</v>
      </c>
      <c r="E84">
        <v>1515.14</v>
      </c>
      <c r="F84" s="4">
        <f>AVERAGE(E84:E86)</f>
        <v>916.05666666666673</v>
      </c>
    </row>
    <row r="85" spans="1:6" x14ac:dyDescent="0.25">
      <c r="A85" t="s">
        <v>86</v>
      </c>
      <c r="B85">
        <v>569.05999999999995</v>
      </c>
      <c r="E85">
        <v>818.43</v>
      </c>
      <c r="F85" s="4"/>
    </row>
    <row r="86" spans="1:6" x14ac:dyDescent="0.25">
      <c r="A86" t="s">
        <v>87</v>
      </c>
      <c r="B86">
        <v>271.37</v>
      </c>
      <c r="E86">
        <v>414.6</v>
      </c>
      <c r="F86" s="4"/>
    </row>
    <row r="87" spans="1:6" x14ac:dyDescent="0.25">
      <c r="A87" t="s">
        <v>88</v>
      </c>
      <c r="B87">
        <v>2932.18</v>
      </c>
      <c r="C87" s="4">
        <f>AVERAGE(B87)</f>
        <v>2932.18</v>
      </c>
      <c r="E87">
        <v>3417.25</v>
      </c>
      <c r="F87" s="4">
        <f>AVERAGE(E87)</f>
        <v>3417.25</v>
      </c>
    </row>
    <row r="88" spans="1:6" x14ac:dyDescent="0.25">
      <c r="A88" t="s">
        <v>89</v>
      </c>
      <c r="B88">
        <v>1792.36</v>
      </c>
      <c r="C88" s="4">
        <f>AVERAGE(B88:B90)</f>
        <v>1665.8566666666666</v>
      </c>
      <c r="E88">
        <v>2152.15</v>
      </c>
      <c r="F88" s="4">
        <f>AVERAGE(E88:E90)</f>
        <v>1985.1033333333332</v>
      </c>
    </row>
    <row r="89" spans="1:6" x14ac:dyDescent="0.25">
      <c r="A89" t="s">
        <v>90</v>
      </c>
      <c r="B89">
        <v>273.02999999999997</v>
      </c>
      <c r="E89">
        <v>385.91</v>
      </c>
      <c r="F89" s="4"/>
    </row>
    <row r="90" spans="1:6" x14ac:dyDescent="0.25">
      <c r="A90" t="s">
        <v>91</v>
      </c>
      <c r="B90">
        <v>2932.18</v>
      </c>
      <c r="E90">
        <v>3417.25</v>
      </c>
      <c r="F90" s="4"/>
    </row>
    <row r="91" spans="1:6" x14ac:dyDescent="0.25">
      <c r="A91" t="s">
        <v>92</v>
      </c>
      <c r="B91">
        <v>1447.86</v>
      </c>
      <c r="C91" s="4">
        <f>AVERAGE(B91:B92)</f>
        <v>976.96499999999992</v>
      </c>
      <c r="E91">
        <v>1669.56</v>
      </c>
      <c r="F91" s="4">
        <f>AVERAGE(E91:E92)</f>
        <v>1189.625</v>
      </c>
    </row>
    <row r="92" spans="1:6" x14ac:dyDescent="0.25">
      <c r="A92" t="s">
        <v>93</v>
      </c>
      <c r="B92">
        <v>506.07</v>
      </c>
      <c r="E92">
        <v>709.69</v>
      </c>
      <c r="F92" s="4"/>
    </row>
    <row r="93" spans="1:6" x14ac:dyDescent="0.25">
      <c r="A93" t="s">
        <v>94</v>
      </c>
      <c r="B93">
        <v>1609.77</v>
      </c>
      <c r="C93" s="4">
        <f>AVERAGE(B93:B95)</f>
        <v>1047.3566666666668</v>
      </c>
      <c r="E93">
        <v>2028.95</v>
      </c>
      <c r="F93" s="4">
        <f>AVERAGE(E93:E95)</f>
        <v>1323.2300000000002</v>
      </c>
    </row>
    <row r="94" spans="1:6" x14ac:dyDescent="0.25">
      <c r="A94" t="s">
        <v>95</v>
      </c>
      <c r="B94">
        <v>1163.23</v>
      </c>
      <c r="E94">
        <v>1451.48</v>
      </c>
      <c r="F94" s="4"/>
    </row>
    <row r="95" spans="1:6" x14ac:dyDescent="0.25">
      <c r="A95" t="s">
        <v>96</v>
      </c>
      <c r="B95">
        <v>369.07</v>
      </c>
      <c r="E95">
        <v>489.26</v>
      </c>
      <c r="F95" s="4"/>
    </row>
    <row r="96" spans="1:6" x14ac:dyDescent="0.25">
      <c r="A96" t="s">
        <v>97</v>
      </c>
      <c r="B96">
        <v>3170.66</v>
      </c>
      <c r="C96" s="4">
        <f>AVERAGE(B96)</f>
        <v>3170.66</v>
      </c>
      <c r="E96">
        <v>3931.41</v>
      </c>
      <c r="F96" s="4">
        <f>AVERAGE(E96)</f>
        <v>3931.41</v>
      </c>
    </row>
    <row r="97" spans="1:6" x14ac:dyDescent="0.25">
      <c r="A97" t="s">
        <v>98</v>
      </c>
      <c r="B97">
        <v>448.29</v>
      </c>
      <c r="C97" s="4">
        <f>AVERAGE(B97:B101)</f>
        <v>601.61</v>
      </c>
      <c r="E97">
        <v>662.53</v>
      </c>
      <c r="F97" s="4">
        <f>AVERAGE(E97:E101)</f>
        <v>935.38199999999995</v>
      </c>
    </row>
    <row r="98" spans="1:6" x14ac:dyDescent="0.25">
      <c r="A98" t="s">
        <v>99</v>
      </c>
      <c r="B98">
        <v>1020.02</v>
      </c>
      <c r="E98">
        <v>1595.35</v>
      </c>
      <c r="F98" s="4"/>
    </row>
    <row r="99" spans="1:6" x14ac:dyDescent="0.25">
      <c r="A99" t="s">
        <v>100</v>
      </c>
      <c r="E99">
        <v>1220.08</v>
      </c>
      <c r="F99" s="4"/>
    </row>
    <row r="100" spans="1:6" x14ac:dyDescent="0.25">
      <c r="A100" t="s">
        <v>101</v>
      </c>
      <c r="B100">
        <v>569.05999999999995</v>
      </c>
      <c r="E100">
        <v>709.69</v>
      </c>
      <c r="F100" s="4"/>
    </row>
    <row r="101" spans="1:6" x14ac:dyDescent="0.25">
      <c r="A101" t="s">
        <v>102</v>
      </c>
      <c r="B101">
        <v>369.07</v>
      </c>
      <c r="E101">
        <v>489.26</v>
      </c>
      <c r="F101" s="4"/>
    </row>
    <row r="102" spans="1:6" x14ac:dyDescent="0.25">
      <c r="A102" t="s">
        <v>103</v>
      </c>
      <c r="C102" s="4">
        <f>AVERAGE(B102:B105)</f>
        <v>766.15</v>
      </c>
      <c r="E102">
        <v>2371.0300000000002</v>
      </c>
      <c r="F102" s="4">
        <f>AVERAGE(E102:E105)</f>
        <v>1210.3875</v>
      </c>
    </row>
    <row r="103" spans="1:6" x14ac:dyDescent="0.25">
      <c r="A103" t="s">
        <v>104</v>
      </c>
      <c r="B103">
        <v>1163.23</v>
      </c>
      <c r="E103">
        <v>1595.35</v>
      </c>
      <c r="F103" s="4"/>
    </row>
    <row r="104" spans="1:6" x14ac:dyDescent="0.25">
      <c r="A104" t="s">
        <v>105</v>
      </c>
      <c r="B104">
        <v>369.07</v>
      </c>
      <c r="E104">
        <v>489.26</v>
      </c>
      <c r="F104" s="4"/>
    </row>
    <row r="105" spans="1:6" x14ac:dyDescent="0.25">
      <c r="A105" t="s">
        <v>106</v>
      </c>
      <c r="E105">
        <v>385.91</v>
      </c>
      <c r="F105" s="4"/>
    </row>
    <row r="106" spans="1:6" x14ac:dyDescent="0.25">
      <c r="A106" t="s">
        <v>107</v>
      </c>
      <c r="B106">
        <v>4168.82</v>
      </c>
      <c r="C106" s="4">
        <f>AVERAGE(B106:B108)</f>
        <v>3139.9066666666663</v>
      </c>
      <c r="E106">
        <v>7216.42</v>
      </c>
      <c r="F106" s="4">
        <f>AVERAGE(E106:E108)</f>
        <v>4668.3599999999997</v>
      </c>
    </row>
    <row r="107" spans="1:6" x14ac:dyDescent="0.25">
      <c r="A107" t="s">
        <v>108</v>
      </c>
      <c r="B107">
        <v>2318.7199999999998</v>
      </c>
      <c r="E107">
        <v>3371.41</v>
      </c>
      <c r="F107" s="4"/>
    </row>
    <row r="108" spans="1:6" x14ac:dyDescent="0.25">
      <c r="A108" t="s">
        <v>109</v>
      </c>
      <c r="B108">
        <v>2932.18</v>
      </c>
      <c r="E108">
        <v>3417.25</v>
      </c>
      <c r="F108" s="4"/>
    </row>
    <row r="109" spans="1:6" x14ac:dyDescent="0.25">
      <c r="A109" t="s">
        <v>110</v>
      </c>
      <c r="B109">
        <v>2318.7199999999998</v>
      </c>
      <c r="C109" s="4">
        <f>AVERAGE(B109:B118)</f>
        <v>1556.8129999999999</v>
      </c>
      <c r="E109">
        <v>2910.87</v>
      </c>
      <c r="F109" s="4">
        <f>AVERAGE(E109:E118)</f>
        <v>2077.5219999999999</v>
      </c>
    </row>
    <row r="110" spans="1:6" x14ac:dyDescent="0.25">
      <c r="A110" t="s">
        <v>111</v>
      </c>
      <c r="B110">
        <v>981.57</v>
      </c>
      <c r="E110">
        <v>1220.08</v>
      </c>
      <c r="F110" s="4"/>
    </row>
    <row r="111" spans="1:6" x14ac:dyDescent="0.25">
      <c r="A111" t="s">
        <v>112</v>
      </c>
      <c r="B111">
        <v>2932.18</v>
      </c>
      <c r="E111">
        <v>3931.41</v>
      </c>
      <c r="F111" s="4"/>
    </row>
    <row r="112" spans="1:6" x14ac:dyDescent="0.25">
      <c r="A112" t="s">
        <v>113</v>
      </c>
      <c r="B112">
        <v>3005.64</v>
      </c>
      <c r="E112">
        <v>4403.05</v>
      </c>
      <c r="F112" s="4"/>
    </row>
    <row r="113" spans="1:6" x14ac:dyDescent="0.25">
      <c r="A113" t="s">
        <v>114</v>
      </c>
      <c r="B113">
        <v>506.07</v>
      </c>
      <c r="E113">
        <v>709.69</v>
      </c>
      <c r="F113" s="4"/>
    </row>
    <row r="114" spans="1:6" x14ac:dyDescent="0.25">
      <c r="A114" t="s">
        <v>115</v>
      </c>
      <c r="B114">
        <v>981.57</v>
      </c>
      <c r="E114">
        <v>1220.08</v>
      </c>
      <c r="F114" s="4"/>
    </row>
    <row r="115" spans="1:6" x14ac:dyDescent="0.25">
      <c r="A115" t="s">
        <v>116</v>
      </c>
      <c r="B115">
        <v>1792.36</v>
      </c>
      <c r="E115">
        <v>2152.15</v>
      </c>
      <c r="F115" s="4"/>
    </row>
    <row r="116" spans="1:6" x14ac:dyDescent="0.25">
      <c r="A116" t="s">
        <v>117</v>
      </c>
      <c r="B116">
        <v>656.05</v>
      </c>
      <c r="E116">
        <v>899.92</v>
      </c>
      <c r="F116" s="4"/>
    </row>
    <row r="117" spans="1:6" x14ac:dyDescent="0.25">
      <c r="A117" t="s">
        <v>118</v>
      </c>
      <c r="B117">
        <v>2122.6</v>
      </c>
      <c r="E117">
        <v>2910.87</v>
      </c>
      <c r="F117" s="4"/>
    </row>
    <row r="118" spans="1:6" x14ac:dyDescent="0.25">
      <c r="A118" t="s">
        <v>119</v>
      </c>
      <c r="B118">
        <v>271.37</v>
      </c>
      <c r="E118">
        <v>417.1</v>
      </c>
      <c r="F118" s="4"/>
    </row>
    <row r="119" spans="1:6" x14ac:dyDescent="0.25">
      <c r="A119" t="s">
        <v>120</v>
      </c>
      <c r="B119">
        <v>1994.47</v>
      </c>
      <c r="C119" s="4">
        <f>AVERAGE(B119:B120)</f>
        <v>1281.7649999999999</v>
      </c>
      <c r="E119">
        <v>2910.87</v>
      </c>
      <c r="F119" s="4">
        <f>AVERAGE(E119:E120)</f>
        <v>1819.425</v>
      </c>
    </row>
    <row r="120" spans="1:6" x14ac:dyDescent="0.25">
      <c r="A120" t="s">
        <v>121</v>
      </c>
      <c r="B120">
        <v>569.05999999999995</v>
      </c>
      <c r="E120">
        <v>727.98</v>
      </c>
      <c r="F120" s="4"/>
    </row>
    <row r="121" spans="1:6" x14ac:dyDescent="0.25">
      <c r="A121" t="s">
        <v>122</v>
      </c>
      <c r="B121">
        <v>737.7</v>
      </c>
      <c r="C121" s="4">
        <f>AVERAGE(B121:B124)</f>
        <v>975.64250000000004</v>
      </c>
      <c r="E121">
        <v>899.92</v>
      </c>
      <c r="F121" s="4">
        <f>AVERAGE(E121:E124)</f>
        <v>1453.7449999999999</v>
      </c>
    </row>
    <row r="122" spans="1:6" x14ac:dyDescent="0.25">
      <c r="A122" t="s">
        <v>123</v>
      </c>
      <c r="B122">
        <v>365.67</v>
      </c>
      <c r="E122">
        <v>544.22</v>
      </c>
      <c r="F122" s="4"/>
    </row>
    <row r="123" spans="1:6" x14ac:dyDescent="0.25">
      <c r="A123" t="s">
        <v>124</v>
      </c>
      <c r="B123">
        <v>1399.6</v>
      </c>
      <c r="E123">
        <v>2185.42</v>
      </c>
      <c r="F123" s="4"/>
    </row>
    <row r="124" spans="1:6" x14ac:dyDescent="0.25">
      <c r="A124" t="s">
        <v>125</v>
      </c>
      <c r="B124">
        <v>1399.6</v>
      </c>
      <c r="E124">
        <v>2185.42</v>
      </c>
      <c r="F124" s="4"/>
    </row>
    <row r="125" spans="1:6" x14ac:dyDescent="0.25">
      <c r="A125" t="s">
        <v>126</v>
      </c>
      <c r="B125">
        <v>2122.6</v>
      </c>
      <c r="C125" s="4">
        <f>AVERAGE(B125:B126)</f>
        <v>1863.1399999999999</v>
      </c>
      <c r="E125">
        <v>3591.85</v>
      </c>
      <c r="F125" s="4">
        <f>AVERAGE(E125:E126)</f>
        <v>2981.44</v>
      </c>
    </row>
    <row r="126" spans="1:6" x14ac:dyDescent="0.25">
      <c r="A126" t="s">
        <v>127</v>
      </c>
      <c r="B126">
        <v>1603.68</v>
      </c>
      <c r="E126">
        <v>2371.0300000000002</v>
      </c>
      <c r="F126" s="4"/>
    </row>
    <row r="127" spans="1:6" x14ac:dyDescent="0.25">
      <c r="A127" t="s">
        <v>128</v>
      </c>
      <c r="B127">
        <v>981.57</v>
      </c>
      <c r="C127" s="4">
        <f>AVERAGE(B127:B128)</f>
        <v>818.81</v>
      </c>
      <c r="E127">
        <v>1244.93</v>
      </c>
      <c r="F127" s="4">
        <f>AVERAGE(E127:E128)</f>
        <v>1031.68</v>
      </c>
    </row>
    <row r="128" spans="1:6" x14ac:dyDescent="0.25">
      <c r="A128" t="s">
        <v>129</v>
      </c>
      <c r="B128">
        <v>656.05</v>
      </c>
      <c r="E128">
        <v>818.43</v>
      </c>
      <c r="F128" s="4"/>
    </row>
    <row r="129" spans="1:6" x14ac:dyDescent="0.25">
      <c r="A129" t="s">
        <v>130</v>
      </c>
      <c r="B129">
        <v>3005.64</v>
      </c>
      <c r="C129" s="4">
        <f>AVERAGE(B129)</f>
        <v>3005.64</v>
      </c>
      <c r="E129">
        <v>4403.05</v>
      </c>
      <c r="F129" s="4">
        <f>AVERAGE(E129)</f>
        <v>4403.05</v>
      </c>
    </row>
    <row r="130" spans="1:6" x14ac:dyDescent="0.25">
      <c r="A130" t="s">
        <v>131</v>
      </c>
      <c r="B130">
        <v>1399.6</v>
      </c>
      <c r="C130" s="4">
        <f>AVERAGE(B130:B131)</f>
        <v>1118.3249999999998</v>
      </c>
      <c r="E130">
        <v>2185.42</v>
      </c>
      <c r="F130" s="4">
        <f>AVERAGE(E130:E131)</f>
        <v>1715.1750000000002</v>
      </c>
    </row>
    <row r="131" spans="1:6" x14ac:dyDescent="0.25">
      <c r="A131" t="s">
        <v>132</v>
      </c>
      <c r="B131">
        <v>837.05</v>
      </c>
      <c r="E131">
        <v>1244.93</v>
      </c>
      <c r="F131" s="4"/>
    </row>
    <row r="132" spans="1:6" x14ac:dyDescent="0.25">
      <c r="A132" t="s">
        <v>133</v>
      </c>
      <c r="B132">
        <v>2932.18</v>
      </c>
      <c r="C132" s="4">
        <f>AVERAGE(B132)</f>
        <v>2932.18</v>
      </c>
      <c r="E132">
        <v>3417.25</v>
      </c>
      <c r="F132" s="4">
        <f>AVERAGE(E132)</f>
        <v>3417.25</v>
      </c>
    </row>
    <row r="133" spans="1:6" x14ac:dyDescent="0.25">
      <c r="A133" t="s">
        <v>134</v>
      </c>
      <c r="B133">
        <v>1163.23</v>
      </c>
      <c r="C133" s="4">
        <f>AVERAGE(B133:B136)</f>
        <v>1478.5074999999999</v>
      </c>
      <c r="E133">
        <v>1515.14</v>
      </c>
      <c r="F133" s="4">
        <f>AVERAGE(E133:E136)</f>
        <v>1849.3500000000001</v>
      </c>
    </row>
    <row r="134" spans="1:6" x14ac:dyDescent="0.25">
      <c r="A134" t="s">
        <v>135</v>
      </c>
      <c r="B134">
        <v>2932.18</v>
      </c>
      <c r="E134">
        <v>3417.25</v>
      </c>
      <c r="F134" s="4"/>
    </row>
    <row r="135" spans="1:6" x14ac:dyDescent="0.25">
      <c r="A135" t="s">
        <v>136</v>
      </c>
      <c r="B135">
        <v>981.57</v>
      </c>
      <c r="E135">
        <v>1220.08</v>
      </c>
      <c r="F135" s="4"/>
    </row>
    <row r="136" spans="1:6" x14ac:dyDescent="0.25">
      <c r="A136" t="s">
        <v>137</v>
      </c>
      <c r="B136">
        <v>837.05</v>
      </c>
      <c r="E136">
        <v>1244.93</v>
      </c>
      <c r="F136" s="4"/>
    </row>
    <row r="137" spans="1:6" x14ac:dyDescent="0.25">
      <c r="A137" t="s">
        <v>138</v>
      </c>
      <c r="B137">
        <v>1699.76</v>
      </c>
      <c r="C137" s="4">
        <f>AVERAGE(B137)</f>
        <v>1699.76</v>
      </c>
      <c r="E137">
        <v>2028.95</v>
      </c>
      <c r="F137" s="4">
        <f>AVERAGE(E137)</f>
        <v>2028.95</v>
      </c>
    </row>
    <row r="138" spans="1:6" x14ac:dyDescent="0.25">
      <c r="A138" t="s">
        <v>139</v>
      </c>
      <c r="B138">
        <v>527.05999999999995</v>
      </c>
      <c r="C138" s="4">
        <f>AVERAGE(B138:B141)</f>
        <v>527.72499999999991</v>
      </c>
      <c r="E138">
        <v>610.25</v>
      </c>
      <c r="F138" s="4">
        <f>AVERAGE(E138:E141)</f>
        <v>712.1</v>
      </c>
    </row>
    <row r="139" spans="1:6" x14ac:dyDescent="0.25">
      <c r="A139" t="s">
        <v>140</v>
      </c>
      <c r="B139">
        <v>506.07</v>
      </c>
      <c r="E139">
        <v>727.98</v>
      </c>
      <c r="F139" s="4"/>
    </row>
    <row r="140" spans="1:6" x14ac:dyDescent="0.25">
      <c r="A140" t="s">
        <v>141</v>
      </c>
      <c r="B140">
        <v>649.74</v>
      </c>
      <c r="E140">
        <v>899.92</v>
      </c>
      <c r="F140" s="4"/>
    </row>
    <row r="141" spans="1:6" x14ac:dyDescent="0.25">
      <c r="A141" t="s">
        <v>142</v>
      </c>
      <c r="B141">
        <v>428.03</v>
      </c>
      <c r="E141">
        <v>610.25</v>
      </c>
      <c r="F141" s="4"/>
    </row>
    <row r="142" spans="1:6" x14ac:dyDescent="0.25">
      <c r="A142" t="s">
        <v>143</v>
      </c>
      <c r="B142">
        <v>369.82</v>
      </c>
      <c r="C142" s="4">
        <f>AVERAGE(B142:B143)</f>
        <v>437.94499999999999</v>
      </c>
      <c r="E142">
        <v>544.22</v>
      </c>
      <c r="F142" s="4">
        <f>AVERAGE(E142:E143)</f>
        <v>626.95500000000004</v>
      </c>
    </row>
    <row r="143" spans="1:6" x14ac:dyDescent="0.25">
      <c r="A143" t="s">
        <v>144</v>
      </c>
      <c r="B143">
        <v>506.07</v>
      </c>
      <c r="E143">
        <v>709.69</v>
      </c>
      <c r="F143" s="4"/>
    </row>
    <row r="144" spans="1:6" x14ac:dyDescent="0.25">
      <c r="A144" t="s">
        <v>145</v>
      </c>
      <c r="B144">
        <v>498.14</v>
      </c>
      <c r="C144" s="4">
        <f>AVERAGE(B144:B150)</f>
        <v>402.39</v>
      </c>
      <c r="E144">
        <v>727.62</v>
      </c>
      <c r="F144" s="4">
        <f>AVERAGE(E144:E150)</f>
        <v>573.08142857142855</v>
      </c>
    </row>
    <row r="145" spans="1:6" x14ac:dyDescent="0.25">
      <c r="A145" t="s">
        <v>146</v>
      </c>
      <c r="B145">
        <v>365.67</v>
      </c>
      <c r="E145">
        <v>499.5</v>
      </c>
      <c r="F145" s="4"/>
    </row>
    <row r="146" spans="1:6" x14ac:dyDescent="0.25">
      <c r="A146" t="s">
        <v>147</v>
      </c>
      <c r="B146">
        <v>369.82</v>
      </c>
      <c r="E146">
        <v>544.22</v>
      </c>
      <c r="F146" s="4"/>
    </row>
    <row r="147" spans="1:6" x14ac:dyDescent="0.25">
      <c r="A147" t="s">
        <v>148</v>
      </c>
      <c r="B147">
        <v>369.82</v>
      </c>
      <c r="E147">
        <v>544.22</v>
      </c>
      <c r="F147" s="4"/>
    </row>
    <row r="148" spans="1:6" x14ac:dyDescent="0.25">
      <c r="A148" t="s">
        <v>149</v>
      </c>
      <c r="B148">
        <v>416.18</v>
      </c>
      <c r="E148">
        <v>544.22</v>
      </c>
      <c r="F148" s="4"/>
    </row>
    <row r="149" spans="1:6" x14ac:dyDescent="0.25">
      <c r="A149" t="s">
        <v>150</v>
      </c>
      <c r="B149">
        <v>428.03</v>
      </c>
      <c r="E149">
        <v>662.53</v>
      </c>
      <c r="F149" s="4"/>
    </row>
    <row r="150" spans="1:6" x14ac:dyDescent="0.25">
      <c r="A150" t="s">
        <v>151</v>
      </c>
      <c r="B150">
        <v>369.07</v>
      </c>
      <c r="E150">
        <v>489.26</v>
      </c>
      <c r="F150" s="4"/>
    </row>
    <row r="151" spans="1:6" x14ac:dyDescent="0.25">
      <c r="A151" t="s">
        <v>152</v>
      </c>
      <c r="B151">
        <v>448.29</v>
      </c>
      <c r="C151" s="4">
        <f>AVERAGE(B151:B161)</f>
        <v>400.50090909090909</v>
      </c>
      <c r="E151">
        <v>610.25</v>
      </c>
      <c r="F151" s="4">
        <f>AVERAGE(E151:E161)</f>
        <v>569.55363636363643</v>
      </c>
    </row>
    <row r="152" spans="1:6" x14ac:dyDescent="0.25">
      <c r="A152" t="s">
        <v>153</v>
      </c>
      <c r="B152">
        <v>278.23</v>
      </c>
      <c r="E152">
        <v>385.91</v>
      </c>
      <c r="F152" s="4"/>
    </row>
    <row r="153" spans="1:6" x14ac:dyDescent="0.25">
      <c r="A153" t="s">
        <v>154</v>
      </c>
      <c r="B153">
        <v>513.65</v>
      </c>
      <c r="E153">
        <v>709.69</v>
      </c>
      <c r="F153" s="4"/>
    </row>
    <row r="154" spans="1:6" x14ac:dyDescent="0.25">
      <c r="A154" t="s">
        <v>155</v>
      </c>
      <c r="B154">
        <v>278.23</v>
      </c>
      <c r="E154">
        <v>417.1</v>
      </c>
      <c r="F154" s="4"/>
    </row>
    <row r="155" spans="1:6" x14ac:dyDescent="0.25">
      <c r="A155" t="s">
        <v>156</v>
      </c>
      <c r="B155">
        <v>1163.23</v>
      </c>
      <c r="E155">
        <v>1515.14</v>
      </c>
      <c r="F155" s="4"/>
    </row>
    <row r="156" spans="1:6" x14ac:dyDescent="0.25">
      <c r="A156" t="s">
        <v>157</v>
      </c>
      <c r="B156">
        <v>278.23</v>
      </c>
      <c r="E156">
        <v>385.91</v>
      </c>
      <c r="F156" s="4"/>
    </row>
    <row r="157" spans="1:6" x14ac:dyDescent="0.25">
      <c r="A157" t="s">
        <v>158</v>
      </c>
      <c r="B157">
        <v>339.59</v>
      </c>
      <c r="E157">
        <v>623.38</v>
      </c>
      <c r="F157" s="4"/>
    </row>
    <row r="158" spans="1:6" x14ac:dyDescent="0.25">
      <c r="A158" t="s">
        <v>159</v>
      </c>
      <c r="B158">
        <v>278.23</v>
      </c>
      <c r="E158">
        <v>414.6</v>
      </c>
      <c r="F158" s="4"/>
    </row>
    <row r="159" spans="1:6" x14ac:dyDescent="0.25">
      <c r="A159" t="s">
        <v>160</v>
      </c>
      <c r="B159">
        <v>271.37</v>
      </c>
      <c r="E159">
        <v>385.91</v>
      </c>
      <c r="F159" s="4"/>
    </row>
    <row r="160" spans="1:6" x14ac:dyDescent="0.25">
      <c r="A160" t="s">
        <v>161</v>
      </c>
      <c r="B160">
        <v>278.23</v>
      </c>
      <c r="E160">
        <v>417.1</v>
      </c>
      <c r="F160" s="4"/>
    </row>
    <row r="161" spans="1:6" x14ac:dyDescent="0.25">
      <c r="A161" t="s">
        <v>162</v>
      </c>
      <c r="B161">
        <v>278.23</v>
      </c>
      <c r="E161">
        <v>400.1</v>
      </c>
      <c r="F161" s="4"/>
    </row>
    <row r="162" spans="1:6" x14ac:dyDescent="0.25">
      <c r="A162" t="s">
        <v>163</v>
      </c>
      <c r="B162">
        <v>1699.76</v>
      </c>
      <c r="C162" s="4">
        <f>AVERAGE(B162)</f>
        <v>1699.76</v>
      </c>
      <c r="E162">
        <v>2371.0300000000002</v>
      </c>
      <c r="F162" s="4">
        <f>AVERAGE(E162)</f>
        <v>2371.0300000000002</v>
      </c>
    </row>
    <row r="163" spans="1:6" x14ac:dyDescent="0.25">
      <c r="A163" t="s">
        <v>164</v>
      </c>
      <c r="B163">
        <v>2676.33</v>
      </c>
      <c r="C163" s="4">
        <f>AVERAGE(B163:B166)</f>
        <v>2267.7074999999995</v>
      </c>
      <c r="E163">
        <v>3264.67</v>
      </c>
      <c r="F163" s="4">
        <f>AVERAGE(E163:E166)</f>
        <v>3223.7175000000002</v>
      </c>
    </row>
    <row r="164" spans="1:6" x14ac:dyDescent="0.25">
      <c r="A164" t="s">
        <v>165</v>
      </c>
      <c r="B164">
        <v>1097.2</v>
      </c>
      <c r="E164">
        <v>1595.35</v>
      </c>
      <c r="F164" s="4"/>
    </row>
    <row r="165" spans="1:6" x14ac:dyDescent="0.25">
      <c r="A165" t="s">
        <v>166</v>
      </c>
      <c r="B165">
        <v>4641</v>
      </c>
      <c r="E165">
        <v>7216.42</v>
      </c>
      <c r="F165" s="4"/>
    </row>
    <row r="166" spans="1:6" x14ac:dyDescent="0.25">
      <c r="A166" t="s">
        <v>167</v>
      </c>
      <c r="B166">
        <v>656.3</v>
      </c>
      <c r="E166">
        <v>818.43</v>
      </c>
      <c r="F166" s="4"/>
    </row>
    <row r="167" spans="1:6" x14ac:dyDescent="0.25">
      <c r="A167" t="s">
        <v>168</v>
      </c>
      <c r="B167">
        <v>4641</v>
      </c>
      <c r="C167" s="4">
        <f>AVERAGE(B167)</f>
        <v>4641</v>
      </c>
      <c r="E167">
        <v>7216.42</v>
      </c>
      <c r="F167" s="4">
        <f>AVERAGE(E167)</f>
        <v>7216.42</v>
      </c>
    </row>
    <row r="168" spans="1:6" x14ac:dyDescent="0.25">
      <c r="A168" t="s">
        <v>169</v>
      </c>
      <c r="B168">
        <v>3005.64</v>
      </c>
      <c r="C168" s="4">
        <f>AVERAGE(B168)</f>
        <v>3005.64</v>
      </c>
      <c r="E168">
        <v>4403.05</v>
      </c>
      <c r="F168" s="4">
        <f>AVERAGE(E168)</f>
        <v>4403.05</v>
      </c>
    </row>
    <row r="169" spans="1:6" x14ac:dyDescent="0.25">
      <c r="A169" t="s">
        <v>170</v>
      </c>
      <c r="B169">
        <v>708.77</v>
      </c>
      <c r="C169" s="4">
        <f>AVERAGE(B169:B171)</f>
        <v>745.89</v>
      </c>
      <c r="E169">
        <v>899.92</v>
      </c>
      <c r="F169" s="4">
        <f>AVERAGE(E169:E171)</f>
        <v>961.1</v>
      </c>
    </row>
    <row r="170" spans="1:6" x14ac:dyDescent="0.25">
      <c r="A170" t="s">
        <v>171</v>
      </c>
      <c r="B170">
        <v>1163.23</v>
      </c>
      <c r="E170">
        <v>1451.48</v>
      </c>
      <c r="F170" s="4"/>
    </row>
    <row r="171" spans="1:6" x14ac:dyDescent="0.25">
      <c r="A171" t="s">
        <v>172</v>
      </c>
      <c r="B171">
        <v>365.67</v>
      </c>
      <c r="E171">
        <v>531.9</v>
      </c>
      <c r="F171" s="4"/>
    </row>
    <row r="172" spans="1:6" x14ac:dyDescent="0.25">
      <c r="A172" t="s">
        <v>173</v>
      </c>
      <c r="B172">
        <v>981.57</v>
      </c>
      <c r="C172" s="4">
        <f>AVERAGE(B172:B173)</f>
        <v>981.57</v>
      </c>
      <c r="E172">
        <v>1220.08</v>
      </c>
      <c r="F172" s="4">
        <f>AVERAGE(E172:E173)</f>
        <v>810.08999999999992</v>
      </c>
    </row>
    <row r="173" spans="1:6" x14ac:dyDescent="0.25">
      <c r="A173" t="s">
        <v>174</v>
      </c>
      <c r="E173">
        <v>400.1</v>
      </c>
      <c r="F173" s="4"/>
    </row>
    <row r="174" spans="1:6" x14ac:dyDescent="0.25">
      <c r="A174" t="s">
        <v>175</v>
      </c>
      <c r="B174">
        <v>1163.23</v>
      </c>
      <c r="C174" s="4">
        <f>AVERAGE(B174:B181)</f>
        <v>1032.75875</v>
      </c>
      <c r="E174">
        <v>1515.14</v>
      </c>
      <c r="F174" s="4">
        <f>AVERAGE(E174:E181)</f>
        <v>1295.9925000000001</v>
      </c>
    </row>
    <row r="175" spans="1:6" x14ac:dyDescent="0.25">
      <c r="A175" t="s">
        <v>176</v>
      </c>
      <c r="B175">
        <v>517.45000000000005</v>
      </c>
      <c r="E175">
        <v>662.53</v>
      </c>
      <c r="F175" s="4"/>
    </row>
    <row r="176" spans="1:6" x14ac:dyDescent="0.25">
      <c r="A176" t="s">
        <v>177</v>
      </c>
      <c r="B176">
        <v>837.8</v>
      </c>
      <c r="E176">
        <v>1012.04</v>
      </c>
      <c r="F176" s="4"/>
    </row>
    <row r="177" spans="1:6" x14ac:dyDescent="0.25">
      <c r="A177" t="s">
        <v>178</v>
      </c>
      <c r="B177">
        <v>339.59</v>
      </c>
      <c r="E177">
        <v>489.26</v>
      </c>
      <c r="F177" s="4"/>
    </row>
    <row r="178" spans="1:6" x14ac:dyDescent="0.25">
      <c r="A178" t="s">
        <v>179</v>
      </c>
      <c r="B178">
        <v>1163.23</v>
      </c>
      <c r="E178">
        <v>1451.48</v>
      </c>
      <c r="F178" s="4"/>
    </row>
    <row r="179" spans="1:6" x14ac:dyDescent="0.25">
      <c r="A179" t="s">
        <v>180</v>
      </c>
      <c r="B179">
        <v>1792.36</v>
      </c>
      <c r="E179">
        <v>2185.42</v>
      </c>
      <c r="F179" s="4"/>
    </row>
    <row r="180" spans="1:6" x14ac:dyDescent="0.25">
      <c r="A180" t="s">
        <v>181</v>
      </c>
      <c r="B180">
        <v>1792.36</v>
      </c>
      <c r="E180">
        <v>2152.15</v>
      </c>
      <c r="F180" s="4"/>
    </row>
    <row r="181" spans="1:6" x14ac:dyDescent="0.25">
      <c r="A181" t="s">
        <v>182</v>
      </c>
      <c r="B181">
        <v>656.05</v>
      </c>
      <c r="E181">
        <v>899.92</v>
      </c>
      <c r="F181" s="4"/>
    </row>
    <row r="182" spans="1:6" x14ac:dyDescent="0.25">
      <c r="A182" t="s">
        <v>183</v>
      </c>
      <c r="B182">
        <v>1020.02</v>
      </c>
      <c r="C182" s="4">
        <f>AVERAGE(B182:B195)</f>
        <v>852.84857142857152</v>
      </c>
      <c r="E182">
        <v>1220.08</v>
      </c>
      <c r="F182" s="4">
        <f>AVERAGE(E182:E195)</f>
        <v>1092.0985714285714</v>
      </c>
    </row>
    <row r="183" spans="1:6" x14ac:dyDescent="0.25">
      <c r="A183" t="s">
        <v>184</v>
      </c>
      <c r="B183">
        <v>736.22</v>
      </c>
      <c r="E183">
        <v>846.68</v>
      </c>
      <c r="F183" s="4"/>
    </row>
    <row r="184" spans="1:6" x14ac:dyDescent="0.25">
      <c r="A184" t="s">
        <v>185</v>
      </c>
      <c r="B184">
        <v>837.05</v>
      </c>
      <c r="E184">
        <v>1108.8599999999999</v>
      </c>
      <c r="F184" s="4"/>
    </row>
    <row r="185" spans="1:6" x14ac:dyDescent="0.25">
      <c r="A185" t="s">
        <v>186</v>
      </c>
      <c r="B185">
        <v>1629.25</v>
      </c>
      <c r="E185">
        <v>1898.76</v>
      </c>
      <c r="F185" s="4"/>
    </row>
    <row r="186" spans="1:6" x14ac:dyDescent="0.25">
      <c r="A186" t="s">
        <v>187</v>
      </c>
      <c r="B186">
        <v>981.57</v>
      </c>
      <c r="E186">
        <v>1220.08</v>
      </c>
      <c r="F186" s="4"/>
    </row>
    <row r="187" spans="1:6" x14ac:dyDescent="0.25">
      <c r="A187" t="s">
        <v>188</v>
      </c>
      <c r="B187">
        <v>837.05</v>
      </c>
      <c r="E187">
        <v>1244.93</v>
      </c>
      <c r="F187" s="4"/>
    </row>
    <row r="188" spans="1:6" x14ac:dyDescent="0.25">
      <c r="A188" t="s">
        <v>189</v>
      </c>
      <c r="B188">
        <v>1609.77</v>
      </c>
      <c r="E188">
        <v>2028.95</v>
      </c>
      <c r="F188" s="4"/>
    </row>
    <row r="189" spans="1:6" x14ac:dyDescent="0.25">
      <c r="A189" t="s">
        <v>190</v>
      </c>
      <c r="B189">
        <v>1163.23</v>
      </c>
      <c r="E189">
        <v>1451.48</v>
      </c>
      <c r="F189" s="4"/>
    </row>
    <row r="190" spans="1:6" x14ac:dyDescent="0.25">
      <c r="A190" t="s">
        <v>191</v>
      </c>
      <c r="B190">
        <v>493.05</v>
      </c>
      <c r="E190">
        <v>623.38</v>
      </c>
      <c r="F190" s="4"/>
    </row>
    <row r="191" spans="1:6" x14ac:dyDescent="0.25">
      <c r="A191" t="s">
        <v>192</v>
      </c>
      <c r="B191">
        <v>395.84</v>
      </c>
      <c r="E191">
        <v>610.25</v>
      </c>
      <c r="F191" s="4"/>
    </row>
    <row r="192" spans="1:6" x14ac:dyDescent="0.25">
      <c r="A192" t="s">
        <v>193</v>
      </c>
      <c r="B192">
        <v>1097.2</v>
      </c>
      <c r="E192">
        <v>1595.35</v>
      </c>
      <c r="F192" s="4"/>
    </row>
    <row r="193" spans="1:6" x14ac:dyDescent="0.25">
      <c r="A193" t="s">
        <v>194</v>
      </c>
      <c r="B193">
        <v>323.29000000000002</v>
      </c>
      <c r="E193">
        <v>400.1</v>
      </c>
      <c r="F193" s="4"/>
    </row>
    <row r="194" spans="1:6" x14ac:dyDescent="0.25">
      <c r="A194" t="s">
        <v>195</v>
      </c>
      <c r="B194">
        <v>323.29000000000002</v>
      </c>
      <c r="E194">
        <v>417.1</v>
      </c>
      <c r="F194" s="4"/>
    </row>
    <row r="195" spans="1:6" x14ac:dyDescent="0.25">
      <c r="A195" t="s">
        <v>196</v>
      </c>
      <c r="B195">
        <v>493.05</v>
      </c>
      <c r="E195">
        <v>623.38</v>
      </c>
      <c r="F195" s="4"/>
    </row>
    <row r="196" spans="1:6" x14ac:dyDescent="0.25">
      <c r="A196" t="s">
        <v>197</v>
      </c>
      <c r="B196">
        <v>2932.18</v>
      </c>
      <c r="C196" s="4">
        <f>AVERAGE(B196:B197)</f>
        <v>2165.2199999999998</v>
      </c>
      <c r="E196">
        <v>3417.25</v>
      </c>
      <c r="F196" s="4">
        <f>AVERAGE(E196:E197)</f>
        <v>2658.0050000000001</v>
      </c>
    </row>
    <row r="197" spans="1:6" x14ac:dyDescent="0.25">
      <c r="A197" t="s">
        <v>198</v>
      </c>
      <c r="B197">
        <v>1398.26</v>
      </c>
      <c r="E197">
        <v>1898.76</v>
      </c>
      <c r="F197" s="4"/>
    </row>
    <row r="198" spans="1:6" x14ac:dyDescent="0.25">
      <c r="A198" t="s">
        <v>199</v>
      </c>
      <c r="B198">
        <v>1097.2</v>
      </c>
      <c r="C198" s="4">
        <f>AVERAGE(B198:B202)</f>
        <v>985.91399999999999</v>
      </c>
      <c r="E198">
        <v>1595.35</v>
      </c>
      <c r="F198" s="4">
        <f>AVERAGE(E198:E202)</f>
        <v>1429.0940000000001</v>
      </c>
    </row>
    <row r="199" spans="1:6" x14ac:dyDescent="0.25">
      <c r="A199" t="s">
        <v>200</v>
      </c>
      <c r="B199">
        <v>1546.25</v>
      </c>
      <c r="E199">
        <v>2152.15</v>
      </c>
      <c r="F199" s="4"/>
    </row>
    <row r="200" spans="1:6" x14ac:dyDescent="0.25">
      <c r="A200" t="s">
        <v>201</v>
      </c>
      <c r="B200">
        <v>1399.6</v>
      </c>
      <c r="E200">
        <v>2185.42</v>
      </c>
      <c r="F200" s="4"/>
    </row>
    <row r="201" spans="1:6" x14ac:dyDescent="0.25">
      <c r="A201" t="s">
        <v>202</v>
      </c>
      <c r="B201">
        <v>517.45000000000005</v>
      </c>
      <c r="E201">
        <v>713.05</v>
      </c>
      <c r="F201" s="4"/>
    </row>
    <row r="202" spans="1:6" x14ac:dyDescent="0.25">
      <c r="A202" t="s">
        <v>203</v>
      </c>
      <c r="B202">
        <v>369.07</v>
      </c>
      <c r="E202">
        <v>499.5</v>
      </c>
      <c r="F202" s="4"/>
    </row>
    <row r="203" spans="1:6" x14ac:dyDescent="0.25">
      <c r="A203" t="s">
        <v>204</v>
      </c>
      <c r="B203">
        <v>837.05</v>
      </c>
      <c r="C203" s="4">
        <f>AVERAGE(B203:B205)</f>
        <v>2507.6166666666663</v>
      </c>
      <c r="E203">
        <v>1244.93</v>
      </c>
      <c r="F203" s="4">
        <f>AVERAGE(E203:E205)</f>
        <v>2965.0833333333335</v>
      </c>
    </row>
    <row r="204" spans="1:6" x14ac:dyDescent="0.25">
      <c r="A204" t="s">
        <v>205</v>
      </c>
      <c r="B204">
        <v>2932.18</v>
      </c>
      <c r="E204">
        <v>3792.29</v>
      </c>
      <c r="F204" s="4"/>
    </row>
    <row r="205" spans="1:6" x14ac:dyDescent="0.25">
      <c r="A205" t="s">
        <v>206</v>
      </c>
      <c r="B205">
        <v>3753.62</v>
      </c>
      <c r="E205">
        <v>3858.03</v>
      </c>
      <c r="F205" s="4"/>
    </row>
    <row r="206" spans="1:6" x14ac:dyDescent="0.25">
      <c r="A206" t="s">
        <v>207</v>
      </c>
      <c r="B206">
        <v>981.57</v>
      </c>
      <c r="C206" s="4">
        <f>AVERAGE(B206:B207)</f>
        <v>815.65499999999997</v>
      </c>
      <c r="E206">
        <v>1220.08</v>
      </c>
      <c r="F206" s="4">
        <f>AVERAGE(E206:E207)</f>
        <v>1033.3799999999999</v>
      </c>
    </row>
    <row r="207" spans="1:6" x14ac:dyDescent="0.25">
      <c r="A207" t="s">
        <v>208</v>
      </c>
      <c r="B207">
        <v>649.74</v>
      </c>
      <c r="E207">
        <v>846.68</v>
      </c>
      <c r="F207" s="4"/>
    </row>
    <row r="208" spans="1:6" x14ac:dyDescent="0.25">
      <c r="A208" t="s">
        <v>209</v>
      </c>
      <c r="B208">
        <v>2932.18</v>
      </c>
      <c r="C208" s="4">
        <f>AVERAGE(B208:B209)</f>
        <v>2932.18</v>
      </c>
      <c r="E208">
        <v>3417.25</v>
      </c>
      <c r="F208" s="4">
        <f>AVERAGE(E208:E209)</f>
        <v>1901.58</v>
      </c>
    </row>
    <row r="209" spans="1:6" x14ac:dyDescent="0.25">
      <c r="A209" t="s">
        <v>210</v>
      </c>
      <c r="E209">
        <v>385.91</v>
      </c>
      <c r="F209" s="4"/>
    </row>
    <row r="210" spans="1:6" x14ac:dyDescent="0.25">
      <c r="A210" t="s">
        <v>211</v>
      </c>
      <c r="B210">
        <v>506.07</v>
      </c>
      <c r="C210" s="4">
        <f>AVERAGE(B210:B227)</f>
        <v>411.72133333333329</v>
      </c>
      <c r="E210">
        <v>662.53</v>
      </c>
      <c r="F210" s="4">
        <f>AVERAGE(E210:E227)</f>
        <v>607.93722222222232</v>
      </c>
    </row>
    <row r="211" spans="1:6" x14ac:dyDescent="0.25">
      <c r="A211" t="s">
        <v>212</v>
      </c>
      <c r="B211">
        <v>278.23</v>
      </c>
      <c r="E211">
        <v>414.6</v>
      </c>
      <c r="F211" s="4"/>
    </row>
    <row r="212" spans="1:6" x14ac:dyDescent="0.25">
      <c r="A212" t="s">
        <v>213</v>
      </c>
      <c r="E212">
        <v>610.25</v>
      </c>
      <c r="F212" s="4"/>
    </row>
    <row r="213" spans="1:6" x14ac:dyDescent="0.25">
      <c r="A213" t="s">
        <v>214</v>
      </c>
      <c r="E213">
        <v>1515.14</v>
      </c>
      <c r="F213" s="4"/>
    </row>
    <row r="214" spans="1:6" x14ac:dyDescent="0.25">
      <c r="A214" t="s">
        <v>215</v>
      </c>
      <c r="B214">
        <v>369.07</v>
      </c>
      <c r="E214">
        <v>489.26</v>
      </c>
      <c r="F214" s="4"/>
    </row>
    <row r="215" spans="1:6" x14ac:dyDescent="0.25">
      <c r="A215" t="s">
        <v>216</v>
      </c>
      <c r="B215">
        <v>271.37</v>
      </c>
      <c r="E215">
        <v>385.91</v>
      </c>
      <c r="F215" s="4"/>
    </row>
    <row r="216" spans="1:6" x14ac:dyDescent="0.25">
      <c r="A216" t="s">
        <v>217</v>
      </c>
      <c r="B216">
        <v>513.65</v>
      </c>
      <c r="E216">
        <v>610.25</v>
      </c>
      <c r="F216" s="4"/>
    </row>
    <row r="217" spans="1:6" x14ac:dyDescent="0.25">
      <c r="A217" t="s">
        <v>218</v>
      </c>
      <c r="B217">
        <v>395.84</v>
      </c>
      <c r="E217">
        <v>662.53</v>
      </c>
      <c r="F217" s="4"/>
    </row>
    <row r="218" spans="1:6" x14ac:dyDescent="0.25">
      <c r="A218" t="s">
        <v>219</v>
      </c>
      <c r="B218">
        <v>600.32000000000005</v>
      </c>
      <c r="E218">
        <v>713.05</v>
      </c>
      <c r="F218" s="4"/>
    </row>
    <row r="219" spans="1:6" x14ac:dyDescent="0.25">
      <c r="A219" t="s">
        <v>220</v>
      </c>
      <c r="B219">
        <v>649.74</v>
      </c>
      <c r="E219">
        <v>846.68</v>
      </c>
      <c r="F219" s="4"/>
    </row>
    <row r="220" spans="1:6" x14ac:dyDescent="0.25">
      <c r="A220" t="s">
        <v>221</v>
      </c>
      <c r="B220">
        <v>649.74</v>
      </c>
      <c r="E220">
        <v>818.43</v>
      </c>
      <c r="F220" s="4"/>
    </row>
    <row r="221" spans="1:6" x14ac:dyDescent="0.25">
      <c r="A221" t="s">
        <v>222</v>
      </c>
      <c r="E221">
        <v>489.26</v>
      </c>
      <c r="F221" s="4"/>
    </row>
    <row r="222" spans="1:6" x14ac:dyDescent="0.25">
      <c r="A222" t="s">
        <v>223</v>
      </c>
      <c r="B222">
        <v>323.29000000000002</v>
      </c>
      <c r="E222">
        <v>400.1</v>
      </c>
      <c r="F222" s="4"/>
    </row>
    <row r="223" spans="1:6" x14ac:dyDescent="0.25">
      <c r="A223" t="s">
        <v>224</v>
      </c>
      <c r="B223">
        <v>339.96</v>
      </c>
      <c r="E223">
        <v>531.9</v>
      </c>
      <c r="F223" s="4"/>
    </row>
    <row r="224" spans="1:6" x14ac:dyDescent="0.25">
      <c r="A224" t="s">
        <v>225</v>
      </c>
      <c r="B224">
        <v>271.37</v>
      </c>
      <c r="E224">
        <v>385.91</v>
      </c>
      <c r="F224" s="4"/>
    </row>
    <row r="225" spans="1:6" x14ac:dyDescent="0.25">
      <c r="A225" t="s">
        <v>226</v>
      </c>
      <c r="B225">
        <v>339.96</v>
      </c>
      <c r="E225">
        <v>531.9</v>
      </c>
      <c r="F225" s="4"/>
    </row>
    <row r="226" spans="1:6" x14ac:dyDescent="0.25">
      <c r="A226" t="s">
        <v>227</v>
      </c>
      <c r="B226">
        <v>395.84</v>
      </c>
      <c r="E226">
        <v>489.26</v>
      </c>
      <c r="F226" s="4"/>
    </row>
    <row r="227" spans="1:6" x14ac:dyDescent="0.25">
      <c r="A227" t="s">
        <v>228</v>
      </c>
      <c r="B227">
        <v>271.37</v>
      </c>
      <c r="E227">
        <v>385.91</v>
      </c>
      <c r="F227" s="4"/>
    </row>
    <row r="228" spans="1:6" x14ac:dyDescent="0.25">
      <c r="A228" t="s">
        <v>229</v>
      </c>
      <c r="B228">
        <v>4641</v>
      </c>
      <c r="C228" s="4">
        <f>AVERAGE(B228:B229)</f>
        <v>3811.15</v>
      </c>
      <c r="E228">
        <v>7216.42</v>
      </c>
      <c r="F228" s="4">
        <f>AVERAGE(E228:E229)</f>
        <v>5573.915</v>
      </c>
    </row>
    <row r="229" spans="1:6" x14ac:dyDescent="0.25">
      <c r="A229" t="s">
        <v>230</v>
      </c>
      <c r="B229">
        <v>2981.3</v>
      </c>
      <c r="E229">
        <v>3931.41</v>
      </c>
      <c r="F229" s="4"/>
    </row>
    <row r="230" spans="1:6" x14ac:dyDescent="0.25">
      <c r="A230" t="s">
        <v>231</v>
      </c>
      <c r="B230">
        <v>736.22</v>
      </c>
      <c r="C230" s="4">
        <f>AVERAGE(B230:B243)</f>
        <v>742.62923076923062</v>
      </c>
      <c r="E230">
        <v>899.92</v>
      </c>
      <c r="F230" s="4">
        <f>AVERAGE(E230:E243)</f>
        <v>1024.0528571428572</v>
      </c>
    </row>
    <row r="231" spans="1:6" x14ac:dyDescent="0.25">
      <c r="A231" t="s">
        <v>232</v>
      </c>
      <c r="B231">
        <v>600.32000000000005</v>
      </c>
      <c r="E231">
        <v>818.43</v>
      </c>
      <c r="F231" s="4"/>
    </row>
    <row r="232" spans="1:6" x14ac:dyDescent="0.25">
      <c r="A232" t="s">
        <v>233</v>
      </c>
      <c r="B232">
        <v>493.05</v>
      </c>
      <c r="E232">
        <v>623.38</v>
      </c>
      <c r="F232" s="4"/>
    </row>
    <row r="233" spans="1:6" x14ac:dyDescent="0.25">
      <c r="A233" t="s">
        <v>234</v>
      </c>
      <c r="B233">
        <v>837.05</v>
      </c>
      <c r="E233">
        <v>1108.8599999999999</v>
      </c>
      <c r="F233" s="4"/>
    </row>
    <row r="234" spans="1:6" x14ac:dyDescent="0.25">
      <c r="A234" t="s">
        <v>235</v>
      </c>
      <c r="B234">
        <v>656.3</v>
      </c>
      <c r="E234">
        <v>846.68</v>
      </c>
      <c r="F234" s="4"/>
    </row>
    <row r="235" spans="1:6" x14ac:dyDescent="0.25">
      <c r="A235" t="s">
        <v>236</v>
      </c>
      <c r="B235">
        <v>1399.6</v>
      </c>
      <c r="E235">
        <v>2185.42</v>
      </c>
      <c r="F235" s="4"/>
    </row>
    <row r="236" spans="1:6" x14ac:dyDescent="0.25">
      <c r="A236" t="s">
        <v>237</v>
      </c>
      <c r="B236">
        <v>1163.23</v>
      </c>
      <c r="E236">
        <v>1451.48</v>
      </c>
      <c r="F236" s="4"/>
    </row>
    <row r="237" spans="1:6" x14ac:dyDescent="0.25">
      <c r="A237" t="s">
        <v>238</v>
      </c>
      <c r="E237">
        <v>1244.93</v>
      </c>
      <c r="F237" s="4"/>
    </row>
    <row r="238" spans="1:6" x14ac:dyDescent="0.25">
      <c r="A238" t="s">
        <v>239</v>
      </c>
      <c r="B238">
        <v>428.03</v>
      </c>
      <c r="E238">
        <v>727.62</v>
      </c>
      <c r="F238" s="4"/>
    </row>
    <row r="239" spans="1:6" x14ac:dyDescent="0.25">
      <c r="A239" t="s">
        <v>240</v>
      </c>
      <c r="B239">
        <v>1399.6</v>
      </c>
      <c r="E239">
        <v>1669.56</v>
      </c>
      <c r="F239" s="4"/>
    </row>
    <row r="240" spans="1:6" x14ac:dyDescent="0.25">
      <c r="A240" t="s">
        <v>241</v>
      </c>
      <c r="B240">
        <v>837.05</v>
      </c>
      <c r="E240">
        <v>1220.08</v>
      </c>
      <c r="F240" s="4"/>
    </row>
    <row r="241" spans="1:6" x14ac:dyDescent="0.25">
      <c r="A241" t="s">
        <v>242</v>
      </c>
      <c r="B241">
        <v>271.37</v>
      </c>
      <c r="E241">
        <v>385.91</v>
      </c>
      <c r="F241" s="4"/>
    </row>
    <row r="242" spans="1:6" x14ac:dyDescent="0.25">
      <c r="A242" t="s">
        <v>243</v>
      </c>
      <c r="B242">
        <v>416.18</v>
      </c>
      <c r="E242">
        <v>544.22</v>
      </c>
      <c r="F242" s="4"/>
    </row>
    <row r="243" spans="1:6" x14ac:dyDescent="0.25">
      <c r="A243" t="s">
        <v>244</v>
      </c>
      <c r="B243">
        <v>416.18</v>
      </c>
      <c r="E243">
        <v>610.25</v>
      </c>
      <c r="F243" s="4"/>
    </row>
    <row r="244" spans="1:6" x14ac:dyDescent="0.25">
      <c r="A244" t="s">
        <v>245</v>
      </c>
      <c r="B244">
        <v>2318.7199999999998</v>
      </c>
      <c r="C244" s="4">
        <f>AVERAGE(B244)</f>
        <v>2318.7199999999998</v>
      </c>
      <c r="E244">
        <v>3591.85</v>
      </c>
      <c r="F244" s="4">
        <f>AVERAGE(E244)</f>
        <v>3591.85</v>
      </c>
    </row>
    <row r="245" spans="1:6" x14ac:dyDescent="0.25">
      <c r="A245" t="s">
        <v>246</v>
      </c>
      <c r="B245">
        <v>1169.01</v>
      </c>
      <c r="C245" s="4">
        <f>AVERAGE(B245)</f>
        <v>1169.01</v>
      </c>
      <c r="E245">
        <v>1515.14</v>
      </c>
      <c r="F245" s="4">
        <f>AVERAGE(E245)</f>
        <v>1515.14</v>
      </c>
    </row>
    <row r="246" spans="1:6" x14ac:dyDescent="0.25">
      <c r="A246" t="s">
        <v>247</v>
      </c>
      <c r="B246">
        <v>2619.6</v>
      </c>
      <c r="C246" s="4">
        <f>AVERAGE(B246:B249)</f>
        <v>1515.4549999999999</v>
      </c>
      <c r="E246">
        <v>2955.83</v>
      </c>
      <c r="F246" s="4">
        <f>AVERAGE(E246:E249)</f>
        <v>1820.7349999999999</v>
      </c>
    </row>
    <row r="247" spans="1:6" x14ac:dyDescent="0.25">
      <c r="A247" t="s">
        <v>248</v>
      </c>
      <c r="B247">
        <v>1163.23</v>
      </c>
      <c r="E247">
        <v>1451.48</v>
      </c>
      <c r="F247" s="4"/>
    </row>
    <row r="248" spans="1:6" x14ac:dyDescent="0.25">
      <c r="A248" t="s">
        <v>249</v>
      </c>
      <c r="B248">
        <v>649.74</v>
      </c>
      <c r="E248">
        <v>846.68</v>
      </c>
      <c r="F248" s="4"/>
    </row>
    <row r="249" spans="1:6" x14ac:dyDescent="0.25">
      <c r="A249" t="s">
        <v>250</v>
      </c>
      <c r="B249">
        <v>1629.25</v>
      </c>
      <c r="E249">
        <v>2028.95</v>
      </c>
      <c r="F249" s="4"/>
    </row>
    <row r="250" spans="1:6" x14ac:dyDescent="0.25">
      <c r="A250" t="s">
        <v>251</v>
      </c>
      <c r="B250">
        <v>981.57</v>
      </c>
      <c r="C250" s="4">
        <f>AVERAGE(B250:B268)</f>
        <v>752.50315789473689</v>
      </c>
      <c r="E250">
        <v>1220.08</v>
      </c>
      <c r="F250" s="4">
        <f>AVERAGE(E250:E268)</f>
        <v>1006.7989473684211</v>
      </c>
    </row>
    <row r="251" spans="1:6" x14ac:dyDescent="0.25">
      <c r="A251" t="s">
        <v>252</v>
      </c>
      <c r="B251">
        <v>556.29</v>
      </c>
      <c r="E251">
        <v>727.62</v>
      </c>
      <c r="F251" s="4"/>
    </row>
    <row r="252" spans="1:6" x14ac:dyDescent="0.25">
      <c r="A252" t="s">
        <v>253</v>
      </c>
      <c r="B252">
        <v>527.05999999999995</v>
      </c>
      <c r="E252">
        <v>818.43</v>
      </c>
      <c r="F252" s="4"/>
    </row>
    <row r="253" spans="1:6" x14ac:dyDescent="0.25">
      <c r="A253" t="s">
        <v>254</v>
      </c>
      <c r="B253">
        <v>506.07</v>
      </c>
      <c r="E253">
        <v>709.69</v>
      </c>
      <c r="F253" s="4"/>
    </row>
    <row r="254" spans="1:6" x14ac:dyDescent="0.25">
      <c r="A254" t="s">
        <v>255</v>
      </c>
      <c r="B254">
        <v>1425.58</v>
      </c>
      <c r="E254">
        <v>1669.56</v>
      </c>
      <c r="F254" s="4"/>
    </row>
    <row r="255" spans="1:6" x14ac:dyDescent="0.25">
      <c r="A255" t="s">
        <v>256</v>
      </c>
      <c r="B255">
        <v>556.29</v>
      </c>
      <c r="E255">
        <v>727.62</v>
      </c>
      <c r="F255" s="4"/>
    </row>
    <row r="256" spans="1:6" x14ac:dyDescent="0.25">
      <c r="A256" t="s">
        <v>257</v>
      </c>
      <c r="B256">
        <v>837.05</v>
      </c>
      <c r="E256">
        <v>1244.93</v>
      </c>
      <c r="F256" s="4"/>
    </row>
    <row r="257" spans="1:6" x14ac:dyDescent="0.25">
      <c r="A257" t="s">
        <v>258</v>
      </c>
      <c r="B257">
        <v>339.59</v>
      </c>
      <c r="E257">
        <v>531.9</v>
      </c>
      <c r="F257" s="4"/>
    </row>
    <row r="258" spans="1:6" x14ac:dyDescent="0.25">
      <c r="A258" t="s">
        <v>259</v>
      </c>
      <c r="B258">
        <v>498.14</v>
      </c>
      <c r="E258">
        <v>727.98</v>
      </c>
      <c r="F258" s="4"/>
    </row>
    <row r="259" spans="1:6" x14ac:dyDescent="0.25">
      <c r="A259" t="s">
        <v>260</v>
      </c>
      <c r="B259">
        <v>2916.92</v>
      </c>
      <c r="E259">
        <v>3417.25</v>
      </c>
      <c r="F259" s="4"/>
    </row>
    <row r="260" spans="1:6" x14ac:dyDescent="0.25">
      <c r="A260" t="s">
        <v>261</v>
      </c>
      <c r="B260">
        <v>1399.6</v>
      </c>
      <c r="E260">
        <v>2185.42</v>
      </c>
      <c r="F260" s="4"/>
    </row>
    <row r="261" spans="1:6" x14ac:dyDescent="0.25">
      <c r="A261" t="s">
        <v>262</v>
      </c>
      <c r="B261">
        <v>837.05</v>
      </c>
      <c r="E261">
        <v>1244.93</v>
      </c>
      <c r="F261" s="4"/>
    </row>
    <row r="262" spans="1:6" x14ac:dyDescent="0.25">
      <c r="A262" t="s">
        <v>263</v>
      </c>
      <c r="B262">
        <v>339.59</v>
      </c>
      <c r="E262">
        <v>417.1</v>
      </c>
      <c r="F262" s="4"/>
    </row>
    <row r="263" spans="1:6" x14ac:dyDescent="0.25">
      <c r="A263" t="s">
        <v>264</v>
      </c>
      <c r="B263">
        <v>656.05</v>
      </c>
      <c r="E263">
        <v>818.43</v>
      </c>
      <c r="F263" s="4"/>
    </row>
    <row r="264" spans="1:6" x14ac:dyDescent="0.25">
      <c r="A264" t="s">
        <v>265</v>
      </c>
      <c r="B264">
        <v>271.37</v>
      </c>
      <c r="E264">
        <v>385.91</v>
      </c>
      <c r="F264" s="4"/>
    </row>
    <row r="265" spans="1:6" x14ac:dyDescent="0.25">
      <c r="A265" t="s">
        <v>266</v>
      </c>
      <c r="B265">
        <v>323.29000000000002</v>
      </c>
      <c r="E265">
        <v>400.1</v>
      </c>
      <c r="F265" s="4"/>
    </row>
    <row r="266" spans="1:6" x14ac:dyDescent="0.25">
      <c r="A266" t="s">
        <v>267</v>
      </c>
      <c r="B266">
        <v>339.59</v>
      </c>
      <c r="E266">
        <v>531.9</v>
      </c>
      <c r="F266" s="4"/>
    </row>
    <row r="267" spans="1:6" x14ac:dyDescent="0.25">
      <c r="A267" t="s">
        <v>268</v>
      </c>
      <c r="B267">
        <v>330.41</v>
      </c>
      <c r="E267">
        <v>531.9</v>
      </c>
      <c r="F267" s="4"/>
    </row>
    <row r="268" spans="1:6" x14ac:dyDescent="0.25">
      <c r="A268" t="s">
        <v>269</v>
      </c>
      <c r="B268">
        <v>656.05</v>
      </c>
      <c r="E268">
        <v>818.43</v>
      </c>
      <c r="F268" s="4"/>
    </row>
    <row r="269" spans="1:6" x14ac:dyDescent="0.25">
      <c r="A269" t="s">
        <v>270</v>
      </c>
      <c r="B269">
        <v>1466.5</v>
      </c>
      <c r="C269" s="4">
        <f>AVERAGE(B269)</f>
        <v>1466.5</v>
      </c>
      <c r="E269">
        <v>1883.02</v>
      </c>
      <c r="F269" s="4">
        <f>AVERAGE(E269)</f>
        <v>1883.02</v>
      </c>
    </row>
    <row r="270" spans="1:6" x14ac:dyDescent="0.25">
      <c r="A270" t="s">
        <v>271</v>
      </c>
      <c r="B270">
        <v>1288.4100000000001</v>
      </c>
      <c r="C270" s="4">
        <f>AVERAGE(B270)</f>
        <v>1288.4100000000001</v>
      </c>
      <c r="E270">
        <v>1680.17</v>
      </c>
      <c r="F270" s="4">
        <f>AVERAGE(E270)</f>
        <v>1680.17</v>
      </c>
    </row>
    <row r="271" spans="1:6" x14ac:dyDescent="0.25">
      <c r="A271" t="s">
        <v>272</v>
      </c>
      <c r="B271">
        <v>1425.58</v>
      </c>
      <c r="C271" s="4">
        <f>AVERAGE(B271:B273)</f>
        <v>1451.5433333333333</v>
      </c>
      <c r="E271">
        <v>2028.95</v>
      </c>
      <c r="F271" s="4">
        <f>AVERAGE(E271:E273)</f>
        <v>1928.7566666666664</v>
      </c>
    </row>
    <row r="272" spans="1:6" x14ac:dyDescent="0.25">
      <c r="A272" t="s">
        <v>273</v>
      </c>
      <c r="B272">
        <v>2657.68</v>
      </c>
      <c r="E272">
        <v>3371.41</v>
      </c>
      <c r="F272" s="4"/>
    </row>
    <row r="273" spans="1:6" x14ac:dyDescent="0.25">
      <c r="A273" t="s">
        <v>274</v>
      </c>
      <c r="B273">
        <v>271.37</v>
      </c>
      <c r="E273">
        <v>385.91</v>
      </c>
      <c r="F273" s="4"/>
    </row>
    <row r="274" spans="1:6" x14ac:dyDescent="0.25">
      <c r="A274" t="s">
        <v>275</v>
      </c>
      <c r="B274">
        <v>527.05999999999995</v>
      </c>
      <c r="C274" s="4">
        <f>AVERAGE(B274:B277)</f>
        <v>553.5625</v>
      </c>
      <c r="E274">
        <v>713.05</v>
      </c>
      <c r="F274" s="4">
        <f>AVERAGE(E274:E277)</f>
        <v>750.42499999999995</v>
      </c>
    </row>
    <row r="275" spans="1:6" x14ac:dyDescent="0.25">
      <c r="A275" t="s">
        <v>276</v>
      </c>
      <c r="B275">
        <v>981.57</v>
      </c>
      <c r="E275">
        <v>1244.93</v>
      </c>
      <c r="F275" s="4"/>
    </row>
    <row r="276" spans="1:6" x14ac:dyDescent="0.25">
      <c r="A276" t="s">
        <v>277</v>
      </c>
      <c r="B276">
        <v>335.8</v>
      </c>
      <c r="E276">
        <v>499.5</v>
      </c>
      <c r="F276" s="4"/>
    </row>
    <row r="277" spans="1:6" x14ac:dyDescent="0.25">
      <c r="A277" t="s">
        <v>278</v>
      </c>
      <c r="B277">
        <v>369.82</v>
      </c>
      <c r="E277">
        <v>544.22</v>
      </c>
      <c r="F277" s="4"/>
    </row>
    <row r="278" spans="1:6" x14ac:dyDescent="0.25">
      <c r="A278" t="s">
        <v>279</v>
      </c>
      <c r="B278">
        <v>1447.86</v>
      </c>
      <c r="C278" s="4">
        <f>AVERAGE(B278:B279)</f>
        <v>859.61500000000001</v>
      </c>
      <c r="E278">
        <v>2371.0300000000002</v>
      </c>
      <c r="F278" s="4">
        <f>AVERAGE(E278:E279)</f>
        <v>1378.47</v>
      </c>
    </row>
    <row r="279" spans="1:6" x14ac:dyDescent="0.25">
      <c r="A279" t="s">
        <v>280</v>
      </c>
      <c r="B279">
        <v>271.37</v>
      </c>
      <c r="E279">
        <v>385.91</v>
      </c>
      <c r="F279" s="4"/>
    </row>
    <row r="280" spans="1:6" x14ac:dyDescent="0.25">
      <c r="A280" t="s">
        <v>281</v>
      </c>
      <c r="B280">
        <v>278.23</v>
      </c>
      <c r="C280" s="4">
        <f>AVERAGE(B280:B296)</f>
        <v>506.97312499999998</v>
      </c>
      <c r="E280">
        <v>417.1</v>
      </c>
      <c r="F280" s="4">
        <f>AVERAGE(E280:E296)</f>
        <v>710.62</v>
      </c>
    </row>
    <row r="281" spans="1:6" x14ac:dyDescent="0.25">
      <c r="A281" t="s">
        <v>282</v>
      </c>
      <c r="B281">
        <v>1288.4100000000001</v>
      </c>
      <c r="E281">
        <v>2202.5</v>
      </c>
      <c r="F281" s="4"/>
    </row>
    <row r="282" spans="1:6" x14ac:dyDescent="0.25">
      <c r="A282" t="s">
        <v>283</v>
      </c>
      <c r="B282">
        <v>369.07</v>
      </c>
      <c r="E282">
        <v>531.9</v>
      </c>
      <c r="F282" s="4"/>
    </row>
    <row r="283" spans="1:6" x14ac:dyDescent="0.25">
      <c r="A283" t="s">
        <v>284</v>
      </c>
      <c r="E283">
        <v>531.9</v>
      </c>
      <c r="F283" s="4"/>
    </row>
    <row r="284" spans="1:6" x14ac:dyDescent="0.25">
      <c r="A284" t="s">
        <v>285</v>
      </c>
      <c r="B284">
        <v>837.05</v>
      </c>
      <c r="E284">
        <v>1108.8599999999999</v>
      </c>
      <c r="F284" s="4"/>
    </row>
    <row r="285" spans="1:6" x14ac:dyDescent="0.25">
      <c r="A285" t="s">
        <v>286</v>
      </c>
      <c r="B285">
        <v>540.55999999999995</v>
      </c>
      <c r="E285">
        <v>709.69</v>
      </c>
      <c r="F285" s="4"/>
    </row>
    <row r="286" spans="1:6" x14ac:dyDescent="0.25">
      <c r="A286" t="s">
        <v>287</v>
      </c>
      <c r="B286">
        <v>556.29</v>
      </c>
      <c r="E286">
        <v>727.62</v>
      </c>
      <c r="F286" s="4"/>
    </row>
    <row r="287" spans="1:6" x14ac:dyDescent="0.25">
      <c r="A287" t="s">
        <v>288</v>
      </c>
      <c r="B287">
        <v>271.37</v>
      </c>
      <c r="E287">
        <v>385.91</v>
      </c>
      <c r="F287" s="4"/>
    </row>
    <row r="288" spans="1:6" x14ac:dyDescent="0.25">
      <c r="A288" t="s">
        <v>289</v>
      </c>
      <c r="B288">
        <v>323.29000000000002</v>
      </c>
      <c r="E288">
        <v>400.1</v>
      </c>
      <c r="F288" s="4"/>
    </row>
    <row r="289" spans="1:6" x14ac:dyDescent="0.25">
      <c r="A289" t="s">
        <v>290</v>
      </c>
      <c r="B289">
        <v>498.14</v>
      </c>
      <c r="E289">
        <v>727.98</v>
      </c>
      <c r="F289" s="4"/>
    </row>
    <row r="290" spans="1:6" x14ac:dyDescent="0.25">
      <c r="A290" t="s">
        <v>291</v>
      </c>
      <c r="B290">
        <v>330.41</v>
      </c>
      <c r="E290">
        <v>400.1</v>
      </c>
      <c r="F290" s="4"/>
    </row>
    <row r="291" spans="1:6" x14ac:dyDescent="0.25">
      <c r="A291" t="s">
        <v>292</v>
      </c>
      <c r="B291">
        <v>736.22</v>
      </c>
      <c r="E291">
        <v>1012.04</v>
      </c>
      <c r="F291" s="4"/>
    </row>
    <row r="292" spans="1:6" x14ac:dyDescent="0.25">
      <c r="A292" t="s">
        <v>293</v>
      </c>
      <c r="B292">
        <v>323.29000000000002</v>
      </c>
      <c r="E292">
        <v>400.1</v>
      </c>
      <c r="F292" s="4"/>
    </row>
    <row r="293" spans="1:6" x14ac:dyDescent="0.25">
      <c r="A293" t="s">
        <v>294</v>
      </c>
      <c r="B293">
        <v>708.77</v>
      </c>
      <c r="E293">
        <v>1012.04</v>
      </c>
      <c r="F293" s="4"/>
    </row>
    <row r="294" spans="1:6" x14ac:dyDescent="0.25">
      <c r="A294" t="s">
        <v>295</v>
      </c>
      <c r="B294">
        <v>273.02999999999997</v>
      </c>
      <c r="E294">
        <v>385.91</v>
      </c>
      <c r="F294" s="4"/>
    </row>
    <row r="295" spans="1:6" x14ac:dyDescent="0.25">
      <c r="A295" t="s">
        <v>296</v>
      </c>
      <c r="B295">
        <v>506.07</v>
      </c>
      <c r="E295">
        <v>709.69</v>
      </c>
      <c r="F295" s="4"/>
    </row>
    <row r="296" spans="1:6" x14ac:dyDescent="0.25">
      <c r="A296" t="s">
        <v>297</v>
      </c>
      <c r="B296">
        <v>271.37</v>
      </c>
      <c r="E296">
        <v>417.1</v>
      </c>
      <c r="F296" s="4"/>
    </row>
    <row r="297" spans="1:6" x14ac:dyDescent="0.25">
      <c r="A297" t="s">
        <v>298</v>
      </c>
      <c r="C297" s="4">
        <f>AVERAGE(B297:B298)</f>
        <v>339.96</v>
      </c>
      <c r="E297">
        <v>400.1</v>
      </c>
      <c r="F297" s="4">
        <f>AVERAGE(E297:E298)</f>
        <v>400.1</v>
      </c>
    </row>
    <row r="298" spans="1:6" x14ac:dyDescent="0.25">
      <c r="A298" t="s">
        <v>299</v>
      </c>
      <c r="B298">
        <v>339.96</v>
      </c>
      <c r="E298">
        <v>400.1</v>
      </c>
      <c r="F298" s="4"/>
    </row>
    <row r="299" spans="1:6" x14ac:dyDescent="0.25">
      <c r="A299" t="s">
        <v>300</v>
      </c>
      <c r="B299">
        <v>837.05</v>
      </c>
      <c r="C299" s="4">
        <f>AVERAGE(B299:B303)</f>
        <v>835.48500000000001</v>
      </c>
      <c r="E299">
        <v>1108.8599999999999</v>
      </c>
      <c r="F299" s="4">
        <f>AVERAGE(E299:E303)</f>
        <v>1018.76</v>
      </c>
    </row>
    <row r="300" spans="1:6" x14ac:dyDescent="0.25">
      <c r="A300" t="s">
        <v>301</v>
      </c>
      <c r="B300">
        <v>1399.6</v>
      </c>
      <c r="E300">
        <v>2185.42</v>
      </c>
      <c r="F300" s="4"/>
    </row>
    <row r="301" spans="1:6" x14ac:dyDescent="0.25">
      <c r="A301" t="s">
        <v>302</v>
      </c>
      <c r="B301">
        <v>736.22</v>
      </c>
      <c r="E301">
        <v>899.92</v>
      </c>
      <c r="F301" s="4"/>
    </row>
    <row r="302" spans="1:6" x14ac:dyDescent="0.25">
      <c r="A302" t="s">
        <v>303</v>
      </c>
      <c r="B302">
        <v>369.07</v>
      </c>
      <c r="E302">
        <v>499.5</v>
      </c>
      <c r="F302" s="4"/>
    </row>
    <row r="303" spans="1:6" x14ac:dyDescent="0.25">
      <c r="A303" t="s">
        <v>304</v>
      </c>
      <c r="E303">
        <v>400.1</v>
      </c>
      <c r="F303" s="4"/>
    </row>
    <row r="304" spans="1:6" x14ac:dyDescent="0.25">
      <c r="A304" t="s">
        <v>305</v>
      </c>
      <c r="B304">
        <v>4822.42</v>
      </c>
      <c r="C304" s="4">
        <f>AVERAGE(B304)</f>
        <v>4822.42</v>
      </c>
      <c r="E304">
        <v>7216.42</v>
      </c>
      <c r="F304" s="4">
        <f>AVERAGE(E304)</f>
        <v>7216.42</v>
      </c>
    </row>
    <row r="305" spans="1:6" x14ac:dyDescent="0.25">
      <c r="A305" t="s">
        <v>306</v>
      </c>
      <c r="B305">
        <v>2364.92</v>
      </c>
      <c r="C305" s="4">
        <f>AVERAGE(B305)</f>
        <v>2364.92</v>
      </c>
      <c r="E305">
        <v>3371.41</v>
      </c>
      <c r="F305" s="4">
        <f>AVERAGE(E305)</f>
        <v>3371.41</v>
      </c>
    </row>
    <row r="306" spans="1:6" x14ac:dyDescent="0.25">
      <c r="A306" t="s">
        <v>307</v>
      </c>
      <c r="B306">
        <v>3005.64</v>
      </c>
      <c r="C306" s="4">
        <f>AVERAGE(B306:B307)</f>
        <v>1802.98</v>
      </c>
      <c r="E306">
        <v>3931.41</v>
      </c>
      <c r="F306" s="4">
        <f>AVERAGE(E306:E307)</f>
        <v>2374.92</v>
      </c>
    </row>
    <row r="307" spans="1:6" x14ac:dyDescent="0.25">
      <c r="A307" t="s">
        <v>308</v>
      </c>
      <c r="B307">
        <v>600.32000000000005</v>
      </c>
      <c r="E307">
        <v>818.43</v>
      </c>
      <c r="F307" s="4"/>
    </row>
    <row r="308" spans="1:6" x14ac:dyDescent="0.25">
      <c r="A308" t="s">
        <v>309</v>
      </c>
      <c r="B308">
        <v>3005.64</v>
      </c>
      <c r="C308" s="4">
        <f>AVERAGE(B308:B309)</f>
        <v>1670.72</v>
      </c>
      <c r="E308">
        <v>3931.41</v>
      </c>
      <c r="F308" s="4">
        <f>AVERAGE(E308:E309)</f>
        <v>2237.8150000000001</v>
      </c>
    </row>
    <row r="309" spans="1:6" x14ac:dyDescent="0.25">
      <c r="A309" t="s">
        <v>310</v>
      </c>
      <c r="B309">
        <v>335.8</v>
      </c>
      <c r="E309">
        <v>544.22</v>
      </c>
      <c r="F309" s="4"/>
    </row>
    <row r="310" spans="1:6" x14ac:dyDescent="0.25">
      <c r="A310" t="s">
        <v>311</v>
      </c>
      <c r="B310">
        <v>1466.5</v>
      </c>
      <c r="C310" s="4">
        <f>AVERAGE(B310:B312)</f>
        <v>1058.1199999999999</v>
      </c>
      <c r="E310">
        <v>1883.02</v>
      </c>
      <c r="F310" s="4">
        <f>AVERAGE(E310:E312)</f>
        <v>3333.1200000000003</v>
      </c>
    </row>
    <row r="311" spans="1:6" x14ac:dyDescent="0.25">
      <c r="A311" t="s">
        <v>312</v>
      </c>
      <c r="E311">
        <v>7216.42</v>
      </c>
      <c r="F311" s="4"/>
    </row>
    <row r="312" spans="1:6" x14ac:dyDescent="0.25">
      <c r="A312" t="s">
        <v>313</v>
      </c>
      <c r="B312">
        <v>649.74</v>
      </c>
      <c r="E312">
        <v>899.92</v>
      </c>
      <c r="F312" s="4"/>
    </row>
    <row r="313" spans="1:6" x14ac:dyDescent="0.25">
      <c r="A313" t="s">
        <v>314</v>
      </c>
      <c r="B313">
        <v>837.8</v>
      </c>
      <c r="C313" s="4">
        <f>AVERAGE(B313:B319)</f>
        <v>1180.5657142857144</v>
      </c>
      <c r="E313">
        <v>1012.04</v>
      </c>
      <c r="F313" s="4">
        <f>AVERAGE(E313:E319)</f>
        <v>1592.1385714285714</v>
      </c>
    </row>
    <row r="314" spans="1:6" x14ac:dyDescent="0.25">
      <c r="A314" t="s">
        <v>315</v>
      </c>
      <c r="B314">
        <v>736.22</v>
      </c>
      <c r="E314">
        <v>1012.04</v>
      </c>
      <c r="F314" s="4"/>
    </row>
    <row r="315" spans="1:6" x14ac:dyDescent="0.25">
      <c r="A315" t="s">
        <v>316</v>
      </c>
      <c r="B315">
        <v>369.07</v>
      </c>
      <c r="E315">
        <v>489.26</v>
      </c>
      <c r="F315" s="4"/>
    </row>
    <row r="316" spans="1:6" x14ac:dyDescent="0.25">
      <c r="A316" t="s">
        <v>317</v>
      </c>
      <c r="B316">
        <v>1425.58</v>
      </c>
      <c r="E316">
        <v>1669.56</v>
      </c>
      <c r="F316" s="4"/>
    </row>
    <row r="317" spans="1:6" x14ac:dyDescent="0.25">
      <c r="A317" t="s">
        <v>318</v>
      </c>
      <c r="B317">
        <v>1169.01</v>
      </c>
      <c r="E317">
        <v>1680.17</v>
      </c>
      <c r="F317" s="4"/>
    </row>
    <row r="318" spans="1:6" x14ac:dyDescent="0.25">
      <c r="A318" t="s">
        <v>319</v>
      </c>
      <c r="B318">
        <v>2122.6</v>
      </c>
      <c r="E318">
        <v>2910.87</v>
      </c>
      <c r="F318" s="4"/>
    </row>
    <row r="319" spans="1:6" x14ac:dyDescent="0.25">
      <c r="A319" t="s">
        <v>320</v>
      </c>
      <c r="B319">
        <v>1603.68</v>
      </c>
      <c r="E319">
        <v>2371.0300000000002</v>
      </c>
      <c r="F319" s="4"/>
    </row>
    <row r="320" spans="1:6" x14ac:dyDescent="0.25">
      <c r="A320" t="s">
        <v>321</v>
      </c>
      <c r="B320">
        <v>527.05999999999995</v>
      </c>
      <c r="C320" s="4">
        <f>AVERAGE(B320:B322)</f>
        <v>595.62</v>
      </c>
      <c r="E320">
        <v>662.53</v>
      </c>
      <c r="F320" s="4">
        <f>AVERAGE(E320:E322)</f>
        <v>766.57</v>
      </c>
    </row>
    <row r="321" spans="1:6" x14ac:dyDescent="0.25">
      <c r="A321" t="s">
        <v>322</v>
      </c>
      <c r="B321">
        <v>981.57</v>
      </c>
      <c r="E321">
        <v>1220.08</v>
      </c>
      <c r="F321" s="4"/>
    </row>
    <row r="322" spans="1:6" x14ac:dyDescent="0.25">
      <c r="A322" t="s">
        <v>323</v>
      </c>
      <c r="B322">
        <v>278.23</v>
      </c>
      <c r="E322">
        <v>417.1</v>
      </c>
      <c r="F322" s="4"/>
    </row>
    <row r="323" spans="1:6" x14ac:dyDescent="0.25">
      <c r="A323" t="s">
        <v>324</v>
      </c>
      <c r="B323">
        <v>513.65</v>
      </c>
      <c r="C323" s="4">
        <f>AVERAGE(B323:B336)</f>
        <v>784.29923076923069</v>
      </c>
      <c r="E323">
        <v>899.92</v>
      </c>
      <c r="F323" s="4">
        <f>AVERAGE(E323:E336)</f>
        <v>1045.1457142857141</v>
      </c>
    </row>
    <row r="324" spans="1:6" x14ac:dyDescent="0.25">
      <c r="A324" t="s">
        <v>325</v>
      </c>
      <c r="B324">
        <v>503.44</v>
      </c>
      <c r="E324">
        <v>727.98</v>
      </c>
      <c r="F324" s="4"/>
    </row>
    <row r="325" spans="1:6" x14ac:dyDescent="0.25">
      <c r="A325" t="s">
        <v>326</v>
      </c>
      <c r="B325">
        <v>339.59</v>
      </c>
      <c r="E325">
        <v>531.9</v>
      </c>
      <c r="F325" s="4"/>
    </row>
    <row r="326" spans="1:6" x14ac:dyDescent="0.25">
      <c r="A326" t="s">
        <v>327</v>
      </c>
      <c r="E326">
        <v>385.91</v>
      </c>
      <c r="F326" s="4"/>
    </row>
    <row r="327" spans="1:6" x14ac:dyDescent="0.25">
      <c r="A327" t="s">
        <v>328</v>
      </c>
      <c r="B327">
        <v>2122.6</v>
      </c>
      <c r="E327">
        <v>2910.87</v>
      </c>
      <c r="F327" s="4"/>
    </row>
    <row r="328" spans="1:6" x14ac:dyDescent="0.25">
      <c r="A328" t="s">
        <v>329</v>
      </c>
      <c r="B328">
        <v>271.37</v>
      </c>
      <c r="E328">
        <v>385.91</v>
      </c>
      <c r="F328" s="4"/>
    </row>
    <row r="329" spans="1:6" x14ac:dyDescent="0.25">
      <c r="A329" t="s">
        <v>330</v>
      </c>
      <c r="B329">
        <v>837.8</v>
      </c>
      <c r="E329">
        <v>1244.93</v>
      </c>
      <c r="F329" s="4"/>
    </row>
    <row r="330" spans="1:6" x14ac:dyDescent="0.25">
      <c r="A330" t="s">
        <v>331</v>
      </c>
      <c r="B330">
        <v>981.57</v>
      </c>
      <c r="E330">
        <v>1220.08</v>
      </c>
      <c r="F330" s="4"/>
    </row>
    <row r="331" spans="1:6" x14ac:dyDescent="0.25">
      <c r="A331" t="s">
        <v>332</v>
      </c>
      <c r="B331">
        <v>271.37</v>
      </c>
      <c r="E331">
        <v>385.91</v>
      </c>
      <c r="F331" s="4"/>
    </row>
    <row r="332" spans="1:6" x14ac:dyDescent="0.25">
      <c r="A332" t="s">
        <v>333</v>
      </c>
      <c r="B332">
        <v>656.05</v>
      </c>
      <c r="E332">
        <v>818.43</v>
      </c>
      <c r="F332" s="4"/>
    </row>
    <row r="333" spans="1:6" x14ac:dyDescent="0.25">
      <c r="A333" t="s">
        <v>334</v>
      </c>
      <c r="B333">
        <v>2122.6</v>
      </c>
      <c r="E333">
        <v>2910.87</v>
      </c>
      <c r="F333" s="4"/>
    </row>
    <row r="334" spans="1:6" x14ac:dyDescent="0.25">
      <c r="A334" t="s">
        <v>335</v>
      </c>
      <c r="B334">
        <v>649.74</v>
      </c>
      <c r="E334">
        <v>846.68</v>
      </c>
      <c r="F334" s="4"/>
    </row>
    <row r="335" spans="1:6" x14ac:dyDescent="0.25">
      <c r="A335" t="s">
        <v>336</v>
      </c>
      <c r="B335">
        <v>369.82</v>
      </c>
      <c r="E335">
        <v>544.22</v>
      </c>
      <c r="F335" s="4"/>
    </row>
    <row r="336" spans="1:6" x14ac:dyDescent="0.25">
      <c r="A336" t="s">
        <v>337</v>
      </c>
      <c r="B336">
        <v>556.29</v>
      </c>
      <c r="E336">
        <v>818.43</v>
      </c>
      <c r="F336" s="4"/>
    </row>
    <row r="337" spans="1:2" x14ac:dyDescent="0.25">
      <c r="A337" t="s">
        <v>338</v>
      </c>
      <c r="B337" t="s">
        <v>338</v>
      </c>
    </row>
    <row r="338" spans="1:2" x14ac:dyDescent="0.25">
      <c r="A338" t="s">
        <v>339</v>
      </c>
    </row>
    <row r="339" spans="1:2" x14ac:dyDescent="0.25">
      <c r="A339" t="s">
        <v>340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Pedro Almeida</cp:lastModifiedBy>
  <dcterms:created xsi:type="dcterms:W3CDTF">2026-06-09T02:00:39Z</dcterms:created>
  <dcterms:modified xsi:type="dcterms:W3CDTF">2026-06-09T03:29:18Z</dcterms:modified>
  <cp:category/>
</cp:coreProperties>
</file>